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02b35b857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토 시작" sheetId="1" r:id="R626669fa20d14f20"/>
    <x:sheet xmlns:r="http://schemas.openxmlformats.org/officeDocument/2006/relationships" name="전체 점검표" sheetId="2" r:id="R3ba3801917af47a1"/>
    <x:sheet xmlns:r="http://schemas.openxmlformats.org/officeDocument/2006/relationships" name="결정할 사항" sheetId="3" r:id="R6cb766c4e8a547aa"/>
    <x:sheet xmlns:r="http://schemas.openxmlformats.org/officeDocument/2006/relationships" name="실행 시나리오" sheetId="4" r:id="R19aba2627c0440da"/>
    <x:sheet xmlns:r="http://schemas.openxmlformats.org/officeDocument/2006/relationships" name="수치 검증" sheetId="5" r:id="R6e32cc616bcf434e"/>
    <x:sheet xmlns:r="http://schemas.openxmlformats.org/officeDocument/2006/relationships" name="사용자 테스트" sheetId="6" r:id="R011ee7658be441b5"/>
    <x:sheet xmlns:r="http://schemas.openxmlformats.org/officeDocument/2006/relationships" name="화면·범위" sheetId="7" r:id="R85e0172d0a564e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0.0%"/>
    <x:numFmt numFmtId="203" formatCode="0%"/>
  </x:numFmts>
  <x:fonts count="8">
    <x:font>
      <x:sz val="11"/>
      <x:name val="Carlito"/>
    </x:font>
    <x:font>
      <x:sz val="10"/>
      <x:color rgb="FF213B54"/>
      <x:name val="Noto Sans CJK KR"/>
    </x:font>
    <x:font>
      <x:b/>
      <x:sz val="16"/>
      <x:color rgb="FFFFFFFF"/>
      <x:name val="Noto Sans CJK KR"/>
    </x:font>
    <x:font>
      <x:sz val="10"/>
      <x:color rgb="FF59748D"/>
      <x:name val="Noto Sans CJK KR"/>
    </x:font>
    <x:font>
      <x:b/>
      <x:sz val="10"/>
      <x:color rgb="FFFFFFFF"/>
      <x:name val="Noto Sans CJK KR"/>
    </x:font>
    <x:font>
      <x:sz val="10"/>
      <x:color rgb="FF145EA8"/>
      <x:name val="Noto Sans CJK KR"/>
    </x:font>
    <x:font>
      <x:b/>
      <x:sz val="12"/>
      <x:color rgb="FF173A5E"/>
      <x:name val="Noto Sans CJK KR"/>
    </x:font>
    <x:font>
      <x:sz val="10"/>
      <x:color rgb="FF183D5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EDF5FF"/>
      </x:patternFill>
    </x:fill>
    <x:fill>
      <x:patternFill patternType="solid">
        <x:fgColor rgb="FFF7FAFE"/>
      </x:patternFill>
    </x:fill>
    <x:fill>
      <x:patternFill patternType="solid">
        <x:fgColor rgb="FFF0F8FF"/>
      </x:patternFill>
    </x:fill>
    <x:fill>
      <x:patternFill patternType="solid">
        <x:fgColor rgb="FFEDF5FF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8">
    <x:dxf>
      <x:font>
        <x:color rgb="FF256544"/>
      </x:font>
      <x:fill>
        <x:patternFill>
          <x:bgColor rgb="FFE5F4EC"/>
        </x:patternFill>
      </x:fill>
    </x:dxf>
    <x:dxf>
      <x:font>
        <x:color rgb="FF983844"/>
      </x:font>
      <x:fill>
        <x:patternFill>
          <x:bgColor rgb="FFFCEBED"/>
        </x:patternFill>
      </x:fill>
    </x:dxf>
    <x:dxf>
      <x:font>
        <x:color rgb="FF825A14"/>
      </x:font>
      <x:fill>
        <x:patternFill>
          <x:bgColor rgb="FFFFF4DC"/>
        </x:patternFill>
      </x:fill>
    </x:dxf>
    <x:dxf>
      <x:font>
        <x:color rgb="FF246CE0"/>
      </x:font>
      <x:fill>
        <x:patternFill>
          <x:bgColor rgb="FFEDF5FF"/>
        </x:patternFill>
      </x:fill>
    </x:dxf>
    <x:dxf>
      <x:font>
        <x:color rgb="FF59748D"/>
      </x:font>
      <x:fill>
        <x:patternFill>
          <x:bgColor rgb="FFEEF0F3"/>
        </x:patternFill>
      </x:fill>
    </x:dxf>
    <x:dxf>
      <x:font>
        <x:color rgb="FF983844"/>
      </x:font>
      <x:fill>
        <x:patternFill>
          <x:bgColor rgb="FFFCEBED"/>
        </x:patternFill>
      </x:fill>
    </x:dxf>
    <x:dxf>
      <x:font>
        <x:color rgb="FF256544"/>
      </x:font>
      <x:fill>
        <x:patternFill>
          <x:bgColor rgb="FFE5F4EC"/>
        </x:patternFill>
      </x:fill>
    </x:dxf>
    <x:dxf>
      <x:font>
        <x:color rgb="FF256544"/>
      </x:font>
      <x:fill>
        <x:patternFill>
          <x:bgColor rgb="FFE5F4EC"/>
        </x:patternFill>
      </x:fill>
    </x:dxf>
    <x:dxf>
      <x:font>
        <x:color rgb="FF983844"/>
      </x:font>
      <x:fill>
        <x:patternFill>
          <x:bgColor rgb="FFFCEBED"/>
        </x:patternFill>
      </x:fill>
    </x:dxf>
    <x:dxf>
      <x:font>
        <x:color rgb="FF825A14"/>
      </x:font>
      <x:fill>
        <x:patternFill>
          <x:bgColor rgb="FFFFF4DC"/>
        </x:patternFill>
      </x:fill>
    </x:dxf>
    <x:dxf>
      <x:font>
        <x:color rgb="FF246CE0"/>
      </x:font>
      <x:fill>
        <x:patternFill>
          <x:bgColor rgb="FFEDF5FF"/>
        </x:patternFill>
      </x:fill>
    </x:dxf>
    <x:dxf>
      <x:font>
        <x:color rgb="FF59748D"/>
      </x:font>
      <x:fill>
        <x:patternFill>
          <x:bgColor rgb="FFEEF0F3"/>
        </x:patternFill>
      </x:fill>
    </x:dxf>
    <x:dxf>
      <x:font>
        <x:color rgb="FF983844"/>
      </x:font>
      <x:fill>
        <x:patternFill>
          <x:bgColor rgb="FFFCEBED"/>
        </x:patternFill>
      </x:fill>
    </x:dxf>
    <x:dxf>
      <x:font>
        <x:color rgb="FF256544"/>
      </x:font>
      <x:fill>
        <x:patternFill>
          <x:bgColor rgb="FFE5F4EC"/>
        </x:patternFill>
      </x:fill>
    </x:dxf>
    <x:dxf>
      <x:font>
        <x:color rgb="FF256544"/>
      </x:font>
      <x:fill>
        <x:patternFill>
          <x:bgColor rgb="FFE5F4EC"/>
        </x:patternFill>
      </x:fill>
    </x:dxf>
    <x:dxf>
      <x:font>
        <x:color rgb="FF983844"/>
      </x:font>
      <x:fill>
        <x:patternFill>
          <x:bgColor rgb="FFFCEBED"/>
        </x:patternFill>
      </x:fill>
    </x:dxf>
    <x:dxf>
      <x:font>
        <x:color rgb="FF825A14"/>
      </x:font>
      <x:fill>
        <x:patternFill>
          <x:bgColor rgb="FFFFF4DC"/>
        </x:patternFill>
      </x:fill>
    </x:dxf>
    <x:dxf>
      <x:font>
        <x:color rgb="FF246CE0"/>
      </x:font>
      <x:fill>
        <x:patternFill>
          <x:bgColor rgb="FFEDF5FF"/>
        </x:patternFill>
      </x:fill>
    </x:dxf>
    <x:dxf>
      <x:font>
        <x:color rgb="FF59748D"/>
      </x:font>
      <x:fill>
        <x:patternFill>
          <x:bgColor rgb="FFEEF0F3"/>
        </x:patternFill>
      </x:fill>
    </x:dxf>
    <x:dxf>
      <x:font>
        <x:color rgb="FF983844"/>
      </x:font>
      <x:fill>
        <x:patternFill>
          <x:bgColor rgb="FFFCEBED"/>
        </x:patternFill>
      </x:fill>
    </x:dxf>
    <x:dxf>
      <x:font>
        <x:color rgb="FF256544"/>
      </x:font>
      <x:fill>
        <x:patternFill>
          <x:bgColor rgb="FFE5F4EC"/>
        </x:patternFill>
      </x:fill>
    </x:dxf>
    <x:dxf>
      <x:font>
        <x:color rgb="FF256544"/>
      </x:font>
      <x:fill>
        <x:patternFill>
          <x:bgColor rgb="FFE5F4EC"/>
        </x:patternFill>
      </x:fill>
    </x:dxf>
    <x:dxf>
      <x:font>
        <x:color rgb="FF983844"/>
      </x:font>
      <x:fill>
        <x:patternFill>
          <x:bgColor rgb="FFFCEBED"/>
        </x:patternFill>
      </x:fill>
    </x:dxf>
    <x:dxf>
      <x:font>
        <x:color rgb="FF825A14"/>
      </x:font>
      <x:fill>
        <x:patternFill>
          <x:bgColor rgb="FFFFF4DC"/>
        </x:patternFill>
      </x:fill>
    </x:dxf>
    <x:dxf>
      <x:font>
        <x:color rgb="FF246CE0"/>
      </x:font>
      <x:fill>
        <x:patternFill>
          <x:bgColor rgb="FFEDF5FF"/>
        </x:patternFill>
      </x:fill>
    </x:dxf>
    <x:dxf>
      <x:font>
        <x:color rgb="FF59748D"/>
      </x:font>
      <x:fill>
        <x:patternFill>
          <x:bgColor rgb="FFEEF0F3"/>
        </x:patternFill>
      </x:fill>
    </x:dxf>
    <x:dxf>
      <x:font>
        <x:color rgb="FF983844"/>
      </x:font>
      <x:fill>
        <x:patternFill>
          <x:bgColor rgb="FFFCEBED"/>
        </x:patternFill>
      </x:fill>
    </x:dxf>
    <x:dxf>
      <x:font>
        <x:color rgb="FF256544"/>
      </x:font>
      <x:fill>
        <x:patternFill>
          <x:bgColor rgb="FFE5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2692fa5224a43" /><Relationship Type="http://schemas.openxmlformats.org/officeDocument/2006/relationships/theme" Target="/xl/theme/theme1.xml" Id="R1860c277a71f47db" /><Relationship Type="http://schemas.openxmlformats.org/officeDocument/2006/relationships/sharedStrings" Target="/xl/sharedStrings.xml" Id="R5299beea06804f68" /><Relationship Type="http://schemas.openxmlformats.org/officeDocument/2006/relationships/worksheet" Target="/xl/worksheets/sheet1.xml" Id="R626669fa20d14f20" /><Relationship Type="http://schemas.openxmlformats.org/officeDocument/2006/relationships/worksheet" Target="/xl/worksheets/sheet2.xml" Id="R3ba3801917af47a1" /><Relationship Type="http://schemas.openxmlformats.org/officeDocument/2006/relationships/worksheet" Target="/xl/worksheets/sheet3.xml" Id="R6cb766c4e8a547aa" /><Relationship Type="http://schemas.openxmlformats.org/officeDocument/2006/relationships/worksheet" Target="/xl/worksheets/sheet4.xml" Id="R19aba2627c0440da" /><Relationship Type="http://schemas.openxmlformats.org/officeDocument/2006/relationships/worksheet" Target="/xl/worksheets/sheet5.xml" Id="R6e32cc616bcf434e" /><Relationship Type="http://schemas.openxmlformats.org/officeDocument/2006/relationships/worksheet" Target="/xl/worksheets/sheet6.xml" Id="R011ee7658be441b5" /><Relationship Type="http://schemas.openxmlformats.org/officeDocument/2006/relationships/worksheet" Target="/xl/worksheets/sheet7.xml" Id="R85e0172d0a564eeb" /></Relationships>
</file>

<file path=xl/tables/table1.xml><?xml version="1.0" encoding="utf-8"?>
<x:table xmlns:x="http://schemas.openxmlformats.org/spreadsheetml/2006/main" id="1" name="ReviewItems" displayName="ReviewItems" ref="A5:O153" headerRowCount="1" totalsRowCount="0" totalsRowShown="0">
  <x:autoFilter ref="A5:O153"/>
  <x:tableColumns count="15">
    <x:tableColumn id="1" name="ID"/>
    <x:tableColumn id="2" name="적용 범위"/>
    <x:tableColumn id="3" name="검증 단계"/>
    <x:tableColumn id="4" name="영역"/>
    <x:tableColumn id="5" name="검토 우선"/>
    <x:tableColumn id="6" name="확인할 사항"/>
    <x:tableColumn id="7" name="점검 방법"/>
    <x:tableColumn id="8" name="통과 기준"/>
    <x:tableColumn id="9" name="상태"/>
    <x:tableColumn id="10" name="담당자"/>
    <x:tableColumn id="11" name="확인자"/>
    <x:tableColumn id="12" name="확인일"/>
    <x:tableColumn id="13" name="실제 결과·증거·이슈 ID"/>
    <x:tableColumn id="14" name="근거 / 기준"/>
    <x:tableColumn id="15" name="기록 점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Decisions" displayName="Decisions" ref="A5:L29" headerRowCount="1" totalsRowCount="0" totalsRowShown="0">
  <x:autoFilter ref="A5:L29"/>
  <x:tableColumns count="12">
    <x:tableColumn id="1" name="이슈 ID"/>
    <x:tableColumn id="2" name="검토 우선"/>
    <x:tableColumn id="3" name="발견 구분"/>
    <x:tableColumn id="4" name="발견한 내용"/>
    <x:tableColumn id="5" name="원문 근거"/>
    <x:tableColumn id="6" name="영향"/>
    <x:tableColumn id="7" name="결정·보완할 내용"/>
    <x:tableColumn id="8" name="해결 상태"/>
    <x:tableColumn id="9" name="담당자"/>
    <x:tableColumn id="10" name="결정일"/>
    <x:tableColumn id="11" name="최종 결정·수정 링크"/>
    <x:tableColumn id="12" name="재확인자 / 결과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Scenarios" displayName="Scenarios" ref="A5:M22" headerRowCount="1" totalsRowCount="0" totalsRowShown="0">
  <x:autoFilter ref="A5:M22"/>
  <x:tableColumns count="13">
    <x:tableColumn id="1" name="ID"/>
    <x:tableColumn id="2" name="범위"/>
    <x:tableColumn id="3" name="검증 흐름"/>
    <x:tableColumn id="4" name="사전 조건"/>
    <x:tableColumn id="5" name="재현 순서"/>
    <x:tableColumn id="6" name="기대 결과"/>
    <x:tableColumn id="7" name="설계 근거"/>
    <x:tableColumn id="8" name="판정"/>
    <x:tableColumn id="9" name="담당자"/>
    <x:tableColumn id="10" name="환경·실제 결과·증거"/>
    <x:tableColumn id="11" name="이슈 ID / 등급"/>
    <x:tableColumn id="12" name="수정·재검증 결과"/>
    <x:tableColumn id="13" name="확인자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FixtureEvents" displayName="FixtureEvents" ref="A5:I17" headerRowCount="1" totalsRowCount="0" totalsRowShown="0">
  <x:autoFilter ref="A5:I17"/>
  <x:tableColumns count="9">
    <x:tableColumn id="1" name="event / attempt ID"/>
    <x:tableColumn id="2" name="세션"/>
    <x:tableColumn id="3" name="발생시각 KST"/>
    <x:tableColumn id="4" name="대상"/>
    <x:tableColumn id="5" name="행동 유형"/>
    <x:tableColumn id="6" name="대상별 순번"/>
    <x:tableColumn id="7" name="반복 여부"/>
    <x:tableColumn id="8" name="시각 구간"/>
    <x:tableColumn id="9" name="완료 세션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MetricChecks" displayName="MetricChecks" ref="A21:I34" headerRowCount="1" totalsRowCount="0" totalsRowShown="0">
  <x:autoFilter ref="A21:I34"/>
  <x:tableColumns count="9">
    <x:tableColumn id="1" name="지표"/>
    <x:tableColumn id="2" name="설계 기대값"/>
    <x:tableColumn id="3" name="단위"/>
    <x:tableColumn id="4" name="의미"/>
    <x:tableColumn id="5" name="자료 계산값"/>
    <x:tableColumn id="6" name="제품 실제값"/>
    <x:tableColumn id="7" name="판정"/>
    <x:tableColumn id="8" name="증거·캡처"/>
    <x:tableColumn id="9" name="비고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SiteCategories" displayName="SiteCategories" ref="A38:E41" headerRowCount="1" totalsRowCount="0" totalsRowShown="0">
  <x:autoFilter ref="A38:E41"/>
  <x:tableColumns count="5">
    <x:tableColumn id="1" name="분류"/>
    <x:tableColumn id="2" name="사이트 수"/>
    <x:tableColumn id="3" name="비율"/>
    <x:tableColumn id="4" name="해석"/>
    <x:tableColumn id="5" name="상태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UsabilityRuns" displayName="UsabilityRuns" ref="A13:J38" headerRowCount="1" totalsRowCount="0" totalsRowShown="0">
  <x:autoFilter ref="A13:J38"/>
  <x:tableColumns count="10">
    <x:tableColumn id="1" name="참여자"/>
    <x:tableColumn id="2" name="과제"/>
    <x:tableColumn id="3" name="판정"/>
    <x:tableColumn id="4" name="소요 초"/>
    <x:tableColumn id="5" name="도움 내용"/>
    <x:tableColumn id="6" name="실패·막힌 지점"/>
    <x:tableColumn id="7" name="실제 발언·관찰"/>
    <x:tableColumn id="8" name="증거·환경·날짜"/>
    <x:tableColumn id="9" name="진행자"/>
    <x:tableColumn id="10" name="재검증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UsabilityUnderstanding" displayName="UsabilityUnderstanding" ref="A41:J46" headerRowCount="1" totalsRowCount="0" totalsRowShown="0">
  <x:autoFilter ref="A41:J46"/>
  <x:tableColumns count="10">
    <x:tableColumn id="1" name="참여자"/>
    <x:tableColumn id="2" name="개념 이해"/>
    <x:tableColumn id="3" name="기록 활용"/>
    <x:tableColumn id="4" name="주요 오해"/>
    <x:tableColumn id="5" name="변경 전 설정"/>
    <x:tableColumn id="6" name="변경 후 설정"/>
    <x:tableColumn id="7" name="선택 이유 / 발언"/>
    <x:tableColumn id="8" name="참여 조건·관찰"/>
    <x:tableColumn id="9" name="진행자"/>
    <x:tableColumn id="10" name="검토일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9" name="UsabilityTotals" displayName="UsabilityTotals" ref="A49:G57" headerRowCount="1" totalsRowCount="0" totalsRowShown="0">
  <x:autoFilter ref="A49:G57"/>
  <x:tableColumns count="7">
    <x:tableColumn id="1" name="항목"/>
    <x:tableColumn id="2" name="예정 횟수"/>
    <x:tableColumn id="3" name="필요 성공"/>
    <x:tableColumn id="4" name="성공 횟수"/>
    <x:tableColumn id="5" name="성공률"/>
    <x:tableColumn id="6" name="실행 횟수"/>
    <x:tableColumn id="7" name="판정"/>
  </x:tableColumns>
  <x:tableStyleInfo name="TableStyleMedium2" showFirstColumn="0" showLastColumn="0" showRowStripes="0" showColumnStripes="0"/>
</x:table>
</file>

<file path=xl/tables/table10.xml><?xml version="1.0" encoding="utf-8"?>
<x:table xmlns:x="http://schemas.openxmlformats.org/spreadsheetml/2006/main" id="10" name="ScreenMap" displayName="ScreenMap" ref="A5:I17" headerRowCount="1" totalsRowCount="0" totalsRowShown="0">
  <x:autoFilter ref="A5:I17"/>
  <x:tableColumns count="9">
    <x:tableColumn id="1" name="화면 ID"/>
    <x:tableColumn id="2" name="화면 이름"/>
    <x:tableColumn id="3" name="구현 영역"/>
    <x:tableColumn id="4" name="관련 흐름"/>
    <x:tableColumn id="5" name="명세 제공 상태"/>
    <x:tableColumn id="6" name="상세 명세 / 근거"/>
    <x:tableColumn id="7" name="현재 High-Fi 링크·버전"/>
    <x:tableColumn id="8" name="연결 상태"/>
    <x:tableColumn id="9" name="Low-Fi 참고 링크"/>
  </x:tableColumns>
  <x:tableStyleInfo name="TableStyleMedium2" showFirstColumn="0" showLastColumn="0" showRowStripes="0" showColumnStripes="0"/>
</x:table>
</file>

<file path=xl/tables/table11.xml><?xml version="1.0" encoding="utf-8"?>
<x:table xmlns:x="http://schemas.openxmlformats.org/spreadsheetml/2006/main" id="11" name="ScopeMap" displayName="ScopeMap" ref="A21:I36" headerRowCount="1" totalsRowCount="0" totalsRowShown="0">
  <x:autoFilter ref="A21:I36"/>
  <x:tableColumns count="9">
    <x:tableColumn id="1" name="구분 ID"/>
    <x:tableColumn id="2" name="범위"/>
    <x:tableColumn id="3" name="기능군"/>
    <x:tableColumn id="4" name="범위 해석"/>
    <x:tableColumn id="5" name="완료 조건 / 경계"/>
    <x:tableColumn id="6" name="근거"/>
    <x:tableColumn id="7" name="팀 결정"/>
    <x:tableColumn id="8" name="담당"/>
    <x:tableColumn id="9" name="기능 ID·화면·API·검증 연결"/>
  </x:tableColumns>
  <x:tableStyleInfo name="TableStyleMedium2" showFirstColumn="0" showLastColumn="0" showRowStripes="0" showColumnStripes="0"/>
</x:table>
</file>

<file path=xl/tables/table12.xml><?xml version="1.0" encoding="utf-8"?>
<x:table xmlns:x="http://schemas.openxmlformats.org/spreadsheetml/2006/main" id="12" name="SourceRegistry" displayName="SourceRegistry" ref="A40:E51" headerRowCount="1" totalsRowCount="0" totalsRowShown="0">
  <x:autoFilter ref="A40:E51"/>
  <x:tableColumns count="5">
    <x:tableColumn id="1" name="자료 ID"/>
    <x:tableColumn id="2" name="파일명"/>
    <x:tableColumn id="3" name="역할"/>
    <x:tableColumn id="4" name="검토 기준일"/>
    <x:tableColumn id="5" name="유의점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597439c04a40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28a921b9d944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db5b4c50074c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02c3d270c84bc3" /><Relationship Type="http://schemas.openxmlformats.org/officeDocument/2006/relationships/table" Target="/xl/tables/table5.xml" Id="Ra5aa19780b524ee0" /><Relationship Type="http://schemas.openxmlformats.org/officeDocument/2006/relationships/table" Target="/xl/tables/table6.xml" Id="R445bbfe6bd3241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d584b0aa7504441" /><Relationship Type="http://schemas.openxmlformats.org/officeDocument/2006/relationships/table" Target="/xl/tables/table8.xml" Id="R7b903f3340fe44ea" /><Relationship Type="http://schemas.openxmlformats.org/officeDocument/2006/relationships/table" Target="/xl/tables/table9.xml" Id="R077795db650f4c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c23ca4d2c26643a7" /><Relationship Type="http://schemas.openxmlformats.org/officeDocument/2006/relationships/table" Target="/xl/tables/table11.xml" Id="R8236cdfdf3e243ca" /><Relationship Type="http://schemas.openxmlformats.org/officeDocument/2006/relationships/table" Target="/xl/tables/table12.xml" Id="R154a30072b8c413c" /></Relationships>
</file>

<file path=xl/worksheets/sheet1.xml><?xml version="1.0" encoding="utf-8"?>
<x:worksheet xmlns:x="http://schemas.openxmlformats.org/spreadsheetml/2006/main">
  <x:sheetPr>
    <x:tabColor rgb="FF246CE0"/>
  </x:sheetPr>
  <x:sheetViews>
    <x:sheetView showGridLines="0" workbookViewId="0"/>
  </x:sheetViews>
  <x:sheetFormatPr defaultRowHeight="15"/>
  <x:cols>
    <x:col min="1" max="1" width="18.889999389648438" hidden="0" customWidth="1"/>
    <x:col min="2" max="2" width="16.670000076293945" hidden="0" customWidth="1"/>
    <x:col min="3" max="3" width="16.110000610351562" hidden="0" customWidth="1"/>
    <x:col min="4" max="4" width="16.670000076293945" hidden="0" customWidth="1"/>
    <x:col min="5" max="5" width="16.670000076293945" hidden="0" customWidth="1"/>
    <x:col min="6" max="6" width="16.110000610351562" hidden="0" customWidth="1"/>
    <x:col min="7" max="7" width="18.329999923706055" hidden="0" customWidth="1"/>
    <x:col min="8" max="8" width="20" hidden="0" customWidth="1"/>
  </x:cols>
  <x:sheetData>
    <x:row r="1" ht="38" customHeight="1">
      <x:c r="A1" s="5" t="str">
        <x:v>FOCURVE · UI 설계 검토와 개발 검증</x:v>
      </x:c>
      <x:c r="B1" s="5"/>
      <x:c r="C1" s="5"/>
      <x:c r="D1" s="5"/>
      <x:c r="E1" s="5"/>
      <x:c r="F1" s="5"/>
      <x:c r="G1" s="3"/>
      <x:c r="H1" s="3"/>
    </x:row>
    <x:row r="2" ht="26" customHeight="1">
      <x:c r="A2" s="7" t="str">
        <x:v>기준일 2026-09-25 · 기본·추가 기능의 설계 검수와 실제 구현 검증을 구분한다.</x:v>
      </x:c>
      <x:c r="B2" s="7"/>
      <x:c r="C2" s="7"/>
      <x:c r="D2" s="7"/>
      <x:c r="E2" s="7"/>
      <x:c r="F2" s="7"/>
      <x:c r="G2" s="3"/>
      <x:c r="H2" s="3"/>
    </x:row>
    <x:row r="3" ht="26" customHeight="1">
      <x:c r="A3" s="7"/>
      <x:c r="B3" s="7"/>
      <x:c r="C3" s="7"/>
      <x:c r="D3" s="7"/>
      <x:c r="E3" s="7"/>
      <x:c r="F3" s="7"/>
      <x:c r="G3" s="3"/>
      <x:c r="H3" s="3"/>
    </x:row>
    <x:row r="4">
      <x:c r="A4" s="3"/>
      <x:c r="B4" s="3"/>
      <x:c r="C4" s="3"/>
      <x:c r="D4" s="3"/>
      <x:c r="E4" s="3"/>
      <x:c r="F4" s="3"/>
      <x:c r="G4" s="3"/>
      <x:c r="H4" s="3"/>
    </x:row>
    <x:row r="5" ht="30" customHeight="1">
      <x:c r="A5" s="19" t="str">
        <x:v>1  지금 할 일: 선결 사항 합의 → 현재 화면 연결 → 화면 검토</x:v>
      </x:c>
      <x:c r="B5" s="19"/>
      <x:c r="C5" s="19"/>
      <x:c r="D5" s="19"/>
      <x:c r="E5" s="19"/>
      <x:c r="F5" s="19"/>
      <x:c r="G5" s="19"/>
      <x:c r="H5" s="19"/>
    </x:row>
    <x:row r="6" ht="36" customHeight="1">
      <x:c r="A6" s="3" t="str">
        <x:v>결정할 사항</x:v>
      </x:c>
      <x:c r="B6" s="3" t="str">
        <x:v>삭제·반복·보관 등 충돌부터 결정합니다. 최종 결정과 수정 링크를 기록합니다.</x:v>
      </x:c>
      <x:c r="C6" s="3"/>
      <x:c r="D6" s="3"/>
      <x:c r="E6" s="3"/>
      <x:c r="F6" s="3"/>
      <x:c r="G6" s="3"/>
      <x:c r="H6" s="3"/>
    </x:row>
    <x:row r="7" ht="36" customHeight="1">
      <x:c r="A7" s="3" t="str">
        <x:v>화면·범위</x:v>
      </x:c>
      <x:c r="B7" s="3" t="str">
        <x:v>현재 기본/추가 기능·라이트/다크 프레임을 연결하고 기능 채택 범위를 지정합니다.</x:v>
      </x:c>
      <x:c r="C7" s="3"/>
      <x:c r="D7" s="3"/>
      <x:c r="E7" s="3"/>
      <x:c r="F7" s="3"/>
      <x:c r="G7" s="3"/>
      <x:c r="H7" s="3"/>
    </x:row>
    <x:row r="8" ht="36" customHeight="1">
      <x:c r="A8" s="3" t="str">
        <x:v>전체 점검표</x:v>
      </x:c>
      <x:c r="B8" s="3" t="str">
        <x:v>단계=문서 검토 또는 화면 검토로 필터링하고 담당자를 배정합니다.</x:v>
      </x:c>
      <x:c r="C8" s="3"/>
      <x:c r="D8" s="3"/>
      <x:c r="E8" s="3"/>
      <x:c r="F8" s="3"/>
      <x:c r="G8" s="3"/>
      <x:c r="H8" s="3"/>
    </x:row>
    <x:row r="9" ht="36" customHeight="1">
      <x:c r="A9" s="3" t="str">
        <x:v>개발이 된 뒤</x:v>
      </x:c>
      <x:c r="B9" s="3" t="str">
        <x:v>실행 시나리오·수치 검증·사용자 테스트를 수행합니다. 화면 검토만으로 기능 통과를 표시하지 않습니다.</x:v>
      </x:c>
      <x:c r="C9" s="3"/>
      <x:c r="D9" s="3"/>
      <x:c r="E9" s="3"/>
      <x:c r="F9" s="3"/>
      <x:c r="G9" s="3"/>
      <x:c r="H9" s="3"/>
    </x:row>
    <x:row r="10">
      <x:c r="A10" s="3"/>
      <x:c r="B10" s="3"/>
      <x:c r="C10" s="3"/>
      <x:c r="D10" s="3"/>
      <x:c r="E10" s="3"/>
      <x:c r="F10" s="3"/>
      <x:c r="G10" s="3"/>
      <x:c r="H10" s="3"/>
    </x:row>
    <x:row r="11" ht="30" customHeight="1">
      <x:c r="A11" s="19" t="str">
        <x:v>2  검토 현황 · 상태를 바꾸면 자동 집계</x:v>
      </x:c>
      <x:c r="B11" s="19"/>
      <x:c r="C11" s="19"/>
      <x:c r="D11" s="19"/>
      <x:c r="E11" s="19"/>
      <x:c r="F11" s="19"/>
      <x:c r="G11" s="19"/>
      <x:c r="H11" s="19"/>
    </x:row>
    <x:row r="12" ht="32" customHeight="1">
      <x:c r="A12" s="8" t="str">
        <x:v>검증 단계</x:v>
      </x:c>
      <x:c r="B12" s="8" t="str">
        <x:v>전체 항목</x:v>
      </x:c>
      <x:c r="C12" s="8" t="str">
        <x:v>통과 표시</x:v>
      </x:c>
      <x:c r="D12" s="8" t="str">
        <x:v>증거까지 완료</x:v>
      </x:c>
      <x:c r="E12" s="8" t="str">
        <x:v>보완 필요</x:v>
      </x:c>
      <x:c r="F12" s="8" t="str">
        <x:v>차단됨</x:v>
      </x:c>
      <x:c r="G12" s="8" t="str">
        <x:v>미점검·진행</x:v>
      </x:c>
      <x:c r="H12" s="8" t="str">
        <x:v>범위 제외</x:v>
      </x:c>
    </x:row>
    <x:row r="13" ht="32" customHeight="1">
      <x:c r="A13" s="3" t="str">
        <x:v>문서 검토</x:v>
      </x:c>
      <x:c r="B13" s="3" t="n">
        <x:f>COUNTIF('전체 점검표'!$C$6:$C$167,A13)</x:f>
        <x:v>43</x:v>
      </x:c>
      <x:c r="C13" s="3" t="n">
        <x:f>COUNTIFS('전체 점검표'!$C$6:$C$167,A13,'전체 점검표'!$I$6:$I$167,"통과")</x:f>
        <x:v>0</x:v>
      </x:c>
      <x:c r="D13" s="3" t="n">
        <x:f>COUNTIFS('전체 점검표'!$C$6:$C$167,A13,'전체 점검표'!$O$6:$O$167,"완료")</x:f>
        <x:v>0</x:v>
      </x:c>
      <x:c r="E13" s="3" t="n">
        <x:f>COUNTIFS('전체 점검표'!$C$6:$C$167,A13,'전체 점검표'!$I$6:$I$167,"보완 필요")</x:f>
        <x:v>0</x:v>
      </x:c>
      <x:c r="F13" s="3" t="n">
        <x:f>COUNTIFS('전체 점검표'!$C$6:$C$167,A13,'전체 점검표'!$I$6:$I$167,"차단됨")</x:f>
        <x:v>0</x:v>
      </x:c>
      <x:c r="G13" s="3" t="n">
        <x:f>COUNTIFS('전체 점검표'!$C$6:$C$167,A13,'전체 점검표'!$I$6:$I$167,"미점검")+COUNTIFS('전체 점검표'!$C$6:$C$167,A13,'전체 점검표'!$I$6:$I$167,"검토 중")</x:f>
        <x:v>43</x:v>
      </x:c>
      <x:c r="H13" s="3" t="n">
        <x:f>COUNTIFS('전체 점검표'!$C$6:$C$167,A13,'전체 점검표'!$O$6:$O$167,"범위 제외")</x:f>
        <x:v>0</x:v>
      </x:c>
    </x:row>
    <x:row r="14" ht="32" customHeight="1">
      <x:c r="A14" s="3" t="str">
        <x:v>화면 검토</x:v>
      </x:c>
      <x:c r="B14" s="3" t="n">
        <x:f>COUNTIF('전체 점검표'!$C$6:$C$167,A14)</x:f>
        <x:v>45</x:v>
      </x:c>
      <x:c r="C14" s="3" t="n">
        <x:f>COUNTIFS('전체 점검표'!$C$6:$C$167,A14,'전체 점검표'!$I$6:$I$167,"통과")</x:f>
        <x:v>0</x:v>
      </x:c>
      <x:c r="D14" s="3" t="n">
        <x:f>COUNTIFS('전체 점검표'!$C$6:$C$167,A14,'전체 점검표'!$O$6:$O$167,"완료")</x:f>
        <x:v>0</x:v>
      </x:c>
      <x:c r="E14" s="3" t="n">
        <x:f>COUNTIFS('전체 점검표'!$C$6:$C$167,A14,'전체 점검표'!$I$6:$I$167,"보완 필요")</x:f>
        <x:v>0</x:v>
      </x:c>
      <x:c r="F14" s="3" t="n">
        <x:f>COUNTIFS('전체 점검표'!$C$6:$C$167,A14,'전체 점검표'!$I$6:$I$167,"차단됨")</x:f>
        <x:v>0</x:v>
      </x:c>
      <x:c r="G14" s="3" t="n">
        <x:f>COUNTIFS('전체 점검표'!$C$6:$C$167,A14,'전체 점검표'!$I$6:$I$167,"미점검")+COUNTIFS('전체 점검표'!$C$6:$C$167,A14,'전체 점검표'!$I$6:$I$167,"검토 중")</x:f>
        <x:v>45</x:v>
      </x:c>
      <x:c r="H14" s="3" t="n">
        <x:f>COUNTIFS('전체 점검표'!$C$6:$C$167,A14,'전체 점검표'!$O$6:$O$167,"범위 제외")</x:f>
        <x:v>0</x:v>
      </x:c>
    </x:row>
    <x:row r="15" ht="32" customHeight="1">
      <x:c r="A15" s="3" t="str">
        <x:v>구현 검증</x:v>
      </x:c>
      <x:c r="B15" s="3" t="n">
        <x:f>COUNTIF('전체 점검표'!$C$6:$C$167,A15)</x:f>
        <x:v>74</x:v>
      </x:c>
      <x:c r="C15" s="3" t="n">
        <x:f>COUNTIFS('전체 점검표'!$C$6:$C$167,A15,'전체 점검표'!$I$6:$I$167,"통과")</x:f>
        <x:v>0</x:v>
      </x:c>
      <x:c r="D15" s="3" t="n">
        <x:f>COUNTIFS('전체 점검표'!$C$6:$C$167,A15,'전체 점검표'!$O$6:$O$167,"완료")</x:f>
        <x:v>0</x:v>
      </x:c>
      <x:c r="E15" s="3" t="n">
        <x:f>COUNTIFS('전체 점검표'!$C$6:$C$167,A15,'전체 점검표'!$I$6:$I$167,"보완 필요")</x:f>
        <x:v>0</x:v>
      </x:c>
      <x:c r="F15" s="3" t="n">
        <x:f>COUNTIFS('전체 점검표'!$C$6:$C$167,A15,'전체 점검표'!$I$6:$I$167,"차단됨")</x:f>
        <x:v>0</x:v>
      </x:c>
      <x:c r="G15" s="3" t="n">
        <x:f>COUNTIFS('전체 점검표'!$C$6:$C$167,A15,'전체 점검표'!$I$6:$I$167,"미점검")+COUNTIFS('전체 점검표'!$C$6:$C$167,A15,'전체 점검표'!$I$6:$I$167,"검토 중")</x:f>
        <x:v>74</x:v>
      </x:c>
      <x:c r="H15" s="3" t="n">
        <x:f>COUNTIFS('전체 점검표'!$C$6:$C$167,A15,'전체 점검표'!$O$6:$O$167,"범위 제외")</x:f>
        <x:v>0</x:v>
      </x:c>
    </x:row>
    <x:row r="16">
      <x:c r="A16" s="3"/>
      <x:c r="B16" s="3"/>
      <x:c r="C16" s="3"/>
      <x:c r="D16" s="3"/>
      <x:c r="E16" s="3"/>
      <x:c r="F16" s="3"/>
      <x:c r="G16" s="3"/>
      <x:c r="H16" s="3"/>
    </x:row>
    <x:row r="17">
      <x:c r="A17" s="3" t="str">
        <x:v>결정할 사항</x:v>
      </x:c>
      <x:c r="B17" s="3" t="n">
        <x:f>COUNTA('결정할 사항'!A6:A29)</x:f>
        <x:v>24</x:v>
      </x:c>
      <x:c r="C17" s="3" t="str">
        <x:v>미해결·진행</x:v>
      </x:c>
      <x:c r="D17" s="3" t="n">
        <x:f>COUNTA('결정할 사항'!A6:A29)-COUNTIF('결정할 사항'!H6:H29,"해결")-COUNTIF('결정할 사항'!H6:H29,"해당 없음")</x:f>
        <x:v>24</x:v>
      </x:c>
      <x:c r="E17" s="3" t="str">
        <x:v>문서상 발견 사항이며 제품 결함 건수가 아닙니다.</x:v>
      </x:c>
      <x:c r="F17" s="3"/>
      <x:c r="G17" s="3"/>
      <x:c r="H17" s="3"/>
    </x:row>
    <x:row r="18">
      <x:c r="A18" s="3"/>
      <x:c r="B18" s="3"/>
      <x:c r="C18" s="3"/>
      <x:c r="D18" s="3"/>
      <x:c r="E18" s="3"/>
      <x:c r="F18" s="3"/>
      <x:c r="G18" s="3"/>
      <x:c r="H18" s="3"/>
    </x:row>
    <x:row r="19" ht="30" customHeight="1">
      <x:c r="A19" s="19" t="str">
        <x:v>3  기록 규칙 · 완료 체크만 남기지 않습니다</x:v>
      </x:c>
      <x:c r="B19" s="19"/>
      <x:c r="C19" s="19"/>
      <x:c r="D19" s="19"/>
      <x:c r="E19" s="19"/>
      <x:c r="F19" s="19"/>
      <x:c r="G19" s="19"/>
      <x:c r="H19" s="19"/>
    </x:row>
    <x:row r="20" ht="36" customHeight="1">
      <x:c r="A20" s="3" t="str">
        <x:v>상태</x:v>
      </x:c>
      <x:c r="B20" s="3" t="str">
        <x:v>미점검 → 검토 중 → 통과 / 보완 필요 / 차단됨. 해당 없음에는 제외 이유와 결정 근거를 적습니다.</x:v>
      </x:c>
      <x:c r="C20" s="3"/>
      <x:c r="D20" s="3"/>
      <x:c r="E20" s="3"/>
      <x:c r="F20" s="3"/>
      <x:c r="G20" s="3"/>
      <x:c r="H20" s="3"/>
    </x:row>
    <x:row r="21" ht="36" customHeight="1">
      <x:c r="A21" s="3" t="str">
        <x:v>증거</x:v>
      </x:c>
      <x:c r="B21" s="3" t="str">
        <x:v>문서: 수정 위치·결정 링크 / 화면: Figma 프레임·상태·캡처 / 구현: 버전·조건·실제 결과·최소 로그.</x:v>
      </x:c>
      <x:c r="C21" s="3"/>
      <x:c r="D21" s="3"/>
      <x:c r="E21" s="3"/>
      <x:c r="F21" s="3"/>
      <x:c r="G21" s="3"/>
      <x:c r="H21" s="3"/>
    </x:row>
    <x:row r="22" ht="36" customHeight="1">
      <x:c r="A22" s="3" t="str">
        <x:v>검토 우선</x:v>
      </x:c>
      <x:c r="B22" s="3" t="str">
        <x:v>선결=구현 전에 합의 / 중요=해당 단계 완료 전 확인 / 보완=다듬기. 실제 결함 P0/P1/P2와 다릅니다.</x:v>
      </x:c>
      <x:c r="C22" s="3"/>
      <x:c r="D22" s="3"/>
      <x:c r="E22" s="3"/>
      <x:c r="F22" s="3"/>
      <x:c r="G22" s="3"/>
      <x:c r="H22" s="3"/>
    </x:row>
    <x:row r="23" ht="36" customHeight="1">
      <x:c r="A23" s="3" t="str">
        <x:v>교차 확인</x:v>
      </x:c>
      <x:c r="B23" s="3" t="str">
        <x:v>통과 표시 후 담당자·다른 확인자·확인일·증거를 기록하세요. 자동 집계는 증거의 내용까지 판독하지 않습니다.</x:v>
      </x:c>
      <x:c r="C23" s="3"/>
      <x:c r="D23" s="3"/>
      <x:c r="E23" s="3"/>
      <x:c r="F23" s="3"/>
      <x:c r="G23" s="3"/>
      <x:c r="H23" s="3"/>
    </x:row>
    <x:row r="24" ht="36" customHeight="1">
      <x:c r="A24" s="3" t="str">
        <x:v>범위</x:v>
      </x:c>
      <x:c r="B24" s="3" t="str">
        <x:v>기본·추가 기능 전체는 학기 필수 검증 대상이다. PC는 전체 완료 후 조건부 착수, 모바일은 후속 검토다.</x:v>
      </x:c>
      <x:c r="C24" s="3"/>
      <x:c r="D24" s="3"/>
      <x:c r="E24" s="3"/>
      <x:c r="F24" s="3"/>
      <x:c r="G24" s="3"/>
      <x:c r="H24" s="3"/>
    </x:row>
    <x:row r="25" ht="36" customHeight="1">
      <x:c r="A25" s="3" t="str">
        <x:v>항목 추가</x:v>
      </x:c>
      <x:c r="B25" s="3" t="str">
        <x:v>새 항목은 기존 행을 복사해 새 ID를 붙입니다. 이 버전의 현황 수식은 제공된 항목 범위이므로 추가 시 집계 범위도 늘립니다.</x:v>
      </x:c>
      <x:c r="C25" s="3"/>
      <x:c r="D25" s="3"/>
      <x:c r="E25" s="3"/>
      <x:c r="F25" s="3"/>
      <x:c r="G25" s="3"/>
      <x:c r="H25" s="3"/>
    </x:row>
    <x:row r="26">
      <x:c r="A26" s="3"/>
      <x:c r="B26" s="3"/>
      <x:c r="C26" s="3"/>
      <x:c r="D26" s="3"/>
      <x:c r="E26" s="3"/>
      <x:c r="F26" s="3"/>
      <x:c r="G26" s="3"/>
      <x:c r="H26" s="3"/>
    </x:row>
    <x:row r="27">
      <x:c r="A27" s="3"/>
      <x:c r="B27" s="3"/>
      <x:c r="C27" s="3"/>
      <x:c r="D27" s="3"/>
      <x:c r="E27" s="3"/>
      <x:c r="F27" s="3"/>
      <x:c r="G27" s="3"/>
      <x:c r="H27" s="3"/>
    </x:row>
    <x:row r="28" ht="30" customHeight="1">
      <x:c r="A28" s="19" t="str">
        <x:v>4  우선 논의할 내용</x:v>
      </x:c>
      <x:c r="B28" s="19"/>
      <x:c r="C28" s="19"/>
      <x:c r="D28" s="19"/>
      <x:c r="E28" s="19"/>
      <x:c r="F28" s="19"/>
      <x:c r="G28" s="19"/>
      <x:c r="H28" s="19"/>
    </x:row>
    <x:row r="29" ht="34" customHeight="1">
      <x:c r="A29" s="3" t="str">
        <x:v>사이트 설정 삭제 후 과거 기록·통계 유지. 구현·회귀 테스트로 확인한다.</x:v>
      </x:c>
      <x:c r="B29" s="3"/>
      <x:c r="C29" s="3"/>
      <x:c r="D29" s="3"/>
      <x:c r="E29" s="3"/>
      <x:c r="F29" s="3"/>
      <x:c r="G29" s="3"/>
      <x:c r="H29" s="3"/>
    </x:row>
    <x:row r="30" ht="34" customHeight="1">
      <x:c r="A30" s="3" t="str">
        <x:v>반복 접근 순서·중복 충돌: 발생시각과 access_seq, 기존 이벤트 유지 여부를 통일해야 합니다.</x:v>
      </x:c>
      <x:c r="B30" s="3"/>
      <x:c r="C30" s="3"/>
      <x:c r="D30" s="3"/>
      <x:c r="E30" s="3"/>
      <x:c r="F30" s="3"/>
      <x:c r="G30" s="3"/>
      <x:c r="H30" s="3"/>
    </x:row>
    <x:row r="31" ht="34" customHeight="1">
      <x:c r="A31" s="3" t="str">
        <x:v>비회원 보관 기간·로그아웃 미전송 자료·중단 세션 복구: 초안 정책을 확정해야 합니다.</x:v>
      </x:c>
      <x:c r="B31" s="3"/>
      <x:c r="C31" s="3"/>
      <x:c r="D31" s="3"/>
      <x:c r="E31" s="3"/>
      <x:c r="F31" s="3"/>
      <x:c r="G31" s="3"/>
      <x:c r="H31" s="3"/>
    </x:row>
    <x:row r="32" ht="34" customHeight="1">
      <x:c r="A32" s="3" t="str">
        <x:v>추가 기능·Desktop의 기능 ID 추적 및 9개 화면의 상세 명세 연결을 보완해야 합니다.</x:v>
      </x:c>
      <x:c r="B32" s="3"/>
      <x:c r="C32" s="3"/>
      <x:c r="D32" s="3"/>
      <x:c r="E32" s="3"/>
      <x:c r="F32" s="3"/>
      <x:c r="G32" s="3"/>
      <x:c r="H32" s="3"/>
    </x:row>
    <x:row r="33">
      <x:c r="A33" s="3"/>
      <x:c r="B33" s="3"/>
      <x:c r="C33" s="3"/>
      <x:c r="D33" s="3"/>
      <x:c r="E33" s="3"/>
      <x:c r="F33" s="3"/>
      <x:c r="G33" s="3"/>
      <x:c r="H33" s="3"/>
    </x:row>
    <x:row r="34">
      <x:c r="A34" s="3"/>
      <x:c r="B34" s="3"/>
      <x:c r="C34" s="3"/>
      <x:c r="D34" s="3"/>
      <x:c r="E34" s="3"/>
      <x:c r="F34" s="3"/>
      <x:c r="G34" s="3"/>
      <x:c r="H34" s="3"/>
    </x:row>
    <x:row r="35" ht="30" customHeight="1">
      <x:c r="A35" s="19" t="str">
        <x:v>5  학기 완료 판단 · 기본·추가 전체</x:v>
      </x:c>
      <x:c r="B35" s="19"/>
      <x:c r="C35" s="19"/>
      <x:c r="D35" s="19"/>
      <x:c r="E35" s="19"/>
      <x:c r="F35" s="19"/>
      <x:c r="G35" s="19"/>
      <x:c r="H35" s="19"/>
    </x:row>
    <x:row r="36" ht="34" customHeight="1">
      <x:c r="A36" s="3" t="str">
        <x:v>필수·통합</x:v>
      </x:c>
      <x:c r="B36" s="3" t="str">
        <x:v>기획 §6.1~6.4 시나리오 모두 통과</x:v>
      </x:c>
      <x:c r="C36" s="3"/>
      <x:c r="D36" s="3"/>
      <x:c r="E36" s="3"/>
      <x:c r="F36" s="3"/>
      <x:c r="G36" s="3"/>
      <x:c r="H36" s="3"/>
    </x:row>
    <x:row r="37" ht="34" customHeight="1">
      <x:c r="A37" s="3" t="str">
        <x:v>데이터·접근 통제</x:v>
      </x:c>
      <x:c r="B37" s="3" t="str">
        <x:v>통계 기대값 100% 일치 / 타 사용자 요청 거절 시나리오 100% 통과</x:v>
      </x:c>
      <x:c r="C37" s="3"/>
      <x:c r="D37" s="3"/>
      <x:c r="E37" s="3"/>
      <x:c r="F37" s="3"/>
      <x:c r="G37" s="3"/>
      <x:c r="H37" s="3"/>
    </x:row>
    <x:row r="38" ht="34" customHeight="1">
      <x:c r="A38" s="3" t="str">
        <x:v>사용자 테스트</x:v>
      </x:c>
      <x:c r="B38" s="3" t="str">
        <x:v>5명×5과제, 전체20/25 이상 및 과제별·개념·기록 활용 각각4/5 이상</x:v>
      </x:c>
      <x:c r="C38" s="3"/>
      <x:c r="D38" s="3"/>
      <x:c r="E38" s="3"/>
      <x:c r="F38" s="3"/>
      <x:c r="G38" s="3"/>
      <x:c r="H38" s="3"/>
    </x:row>
    <x:row r="39" ht="34" customHeight="1">
      <x:c r="A39" s="3" t="str">
        <x:v>오류 상태</x:v>
      </x:c>
      <x:c r="B39" s="3" t="str">
        <x:v>미해결 P0·P1 각0건 / P2는 영향·우회·담당·수정일정 기록</x:v>
      </x:c>
      <x:c r="C39" s="3"/>
      <x:c r="D39" s="3"/>
      <x:c r="E39" s="3"/>
      <x:c r="F39" s="3"/>
      <x:c r="G39" s="3"/>
      <x:c r="H39" s="3"/>
    </x:row>
    <x:row r="40" ht="34" customHeight="1">
      <x:c r="A40" s="3" t="str">
        <x:v>문서·제품 일치</x:v>
      </x:c>
      <x:c r="B40" s="3" t="str">
        <x:v>확정 범위·이벤트·보관·권한·사용자 안내와 실제 동작 일치</x:v>
      </x:c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6" t="str">
        <x:v>설계 검토와 구현 검증의 결과를 각각 기록한다. 실물 화면·동작은 실행한 환경·버전·증거를 기준으로 판정한다.</x:v>
      </x:c>
      <x:c r="B43" s="6"/>
      <x:c r="C43" s="6"/>
      <x:c r="D43" s="6"/>
      <x:c r="E43" s="6"/>
      <x:c r="F43" s="6"/>
      <x:c r="G43" s="6"/>
      <x:c r="H43" s="6"/>
    </x:row>
    <x:row r="44">
      <x:c r="A44" s="6"/>
      <x:c r="B44" s="6"/>
      <x:c r="C44" s="6"/>
      <x:c r="D44" s="6"/>
      <x:c r="E44" s="6"/>
      <x:c r="F44" s="6"/>
      <x:c r="G44" s="6"/>
      <x:c r="H44" s="6"/>
    </x:row>
    <x:row r="45">
      <x:c r="A45" s="6"/>
      <x:c r="B45" s="6"/>
      <x:c r="C45" s="6"/>
      <x:c r="D45" s="6"/>
      <x:c r="E45" s="6"/>
      <x:c r="F45" s="6"/>
      <x:c r="G45" s="6"/>
      <x:c r="H45" s="6"/>
    </x:row>
    <x:row r="46">
      <x:c r="A46" s="3"/>
      <x:c r="B46" s="3"/>
      <x:c r="C46" s="3"/>
      <x:c r="D46" s="3"/>
      <x:c r="E46" s="3"/>
      <x:c r="F46" s="3"/>
      <x:c r="G46" s="3"/>
      <x:c r="H46" s="3"/>
    </x:row>
    <x:row r="47">
      <x:c r="A47" s="3"/>
      <x:c r="B47" s="3"/>
      <x:c r="C47" s="3"/>
      <x:c r="D47" s="3"/>
      <x:c r="E47" s="3"/>
      <x:c r="F47" s="3"/>
      <x:c r="G47" s="3"/>
      <x:c r="H47" s="3"/>
    </x:row>
    <x:row r="48" ht="30" customHeight="1">
      <x:c r="A48" s="19" t="str">
        <x:v>실제 구현 오류의 등급 · 기획의 완료 기준과 함께 사용</x:v>
      </x:c>
      <x:c r="B48" s="19"/>
      <x:c r="C48" s="19"/>
      <x:c r="D48" s="19"/>
      <x:c r="E48" s="19"/>
      <x:c r="F48" s="19"/>
      <x:c r="G48" s="19"/>
      <x:c r="H48" s="19"/>
    </x:row>
    <x:row r="49" ht="42" customHeight="1">
      <x:c r="A49" s="3" t="str">
        <x:v>P0 · 치명적</x:v>
      </x:c>
      <x:c r="B49" s="3" t="str">
        <x:v>타 사용자 자료 노출·인증 우회·데이터 손실/훼손·전체 서비스 사용 불가. 검증과 배포를 중지하고 우선 수정.</x:v>
      </x:c>
      <x:c r="C49" s="3"/>
      <x:c r="D49" s="3"/>
      <x:c r="E49" s="3"/>
      <x:c r="F49" s="3"/>
      <x:c r="G49" s="3"/>
      <x:c r="H49" s="3"/>
    </x:row>
    <x:row r="50" ht="42" customHeight="1">
      <x:c r="A50" s="3" t="str">
        <x:v>P1 · 주요</x:v>
      </x:c>
      <x:c r="B50" s="3" t="str">
        <x:v>필수 흐름을 완료할 수 없음, 차단/해제 실패·허용 대상 오차단·이벤트 누락/중복·통계 오류. 완료 판정 전 수정·회귀 검증.</x:v>
      </x:c>
      <x:c r="C50" s="3"/>
      <x:c r="D50" s="3"/>
      <x:c r="E50" s="3"/>
      <x:c r="F50" s="3"/>
      <x:c r="G50" s="3"/>
      <x:c r="H50" s="3"/>
    </x:row>
    <x:row r="51" ht="42" customHeight="1">
      <x:c r="A51" s="3" t="str">
        <x:v>P2 · 보통</x:v>
      </x:c>
      <x:c r="B51" s="3" t="str">
        <x:v>대체 경로가 있고 보안·데이터·필수 흐름을 막지 않는 화면/문구 오류. 영향·대안·담당·일정 기록. 완료 기준에 영향 주면 P1.</x:v>
      </x:c>
      <x:c r="C51" s="3"/>
      <x:c r="D51" s="3"/>
      <x:c r="E51" s="3"/>
      <x:c r="F51" s="3"/>
      <x:c r="G51" s="3"/>
      <x:c r="H51" s="3"/>
    </x:row>
    <x:row r="52">
      <x:c r="A52" s="3"/>
      <x:c r="B52" s="3"/>
      <x:c r="C52" s="3"/>
      <x:c r="D52" s="3"/>
      <x:c r="E52" s="3"/>
      <x:c r="F52" s="3"/>
      <x:c r="G52" s="3"/>
      <x:c r="H52" s="3"/>
    </x:row>
    <x:row r="53">
      <x:c r="A53" s="3"/>
      <x:c r="B53" s="3"/>
      <x:c r="C53" s="3"/>
      <x:c r="D53" s="3"/>
      <x:c r="E53" s="3"/>
      <x:c r="F53" s="3"/>
      <x:c r="G53" s="3"/>
      <x:c r="H53" s="3"/>
    </x:row>
    <x:row r="54">
      <x:c r="A54" s="3"/>
      <x:c r="B54" s="3"/>
      <x:c r="C54" s="3"/>
      <x:c r="D54" s="3"/>
      <x:c r="E54" s="3"/>
      <x:c r="F54" s="3"/>
      <x:c r="G54" s="3"/>
      <x:c r="H54" s="3"/>
    </x:row>
    <x:row r="55">
      <x:c r="A55" s="3"/>
      <x:c r="B55" s="3"/>
      <x:c r="C55" s="3"/>
      <x:c r="D55" s="3"/>
      <x:c r="E55" s="3"/>
      <x:c r="F55" s="3"/>
      <x:c r="G55" s="3"/>
      <x:c r="H55" s="3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>
      <x:c r="A57" s="3"/>
      <x:c r="B57" s="3"/>
      <x:c r="C57" s="3"/>
      <x:c r="D57" s="3"/>
      <x:c r="E57" s="3"/>
      <x:c r="F57" s="3"/>
      <x:c r="G57" s="3"/>
      <x:c r="H57" s="3"/>
    </x:row>
    <x:row r="58">
      <x:c r="A58" s="3"/>
      <x:c r="B58" s="3"/>
      <x:c r="C58" s="3"/>
      <x:c r="D58" s="3"/>
      <x:c r="E58" s="3"/>
      <x:c r="F58" s="3"/>
      <x:c r="G58" s="3"/>
      <x:c r="H58" s="3"/>
    </x:row>
    <x:row r="59">
      <x:c r="A59" s="3"/>
      <x:c r="B59" s="3"/>
      <x:c r="C59" s="3"/>
      <x:c r="D59" s="3"/>
      <x:c r="E59" s="3"/>
      <x:c r="F59" s="3"/>
      <x:c r="G59" s="3"/>
      <x:c r="H59" s="3"/>
    </x:row>
    <x:row r="60">
      <x:c r="A60" s="3"/>
      <x:c r="B60" s="3"/>
      <x:c r="C60" s="3"/>
      <x:c r="D60" s="3"/>
      <x:c r="E60" s="3"/>
      <x:c r="F60" s="3"/>
      <x:c r="G60" s="3"/>
      <x:c r="H60" s="3"/>
    </x:row>
    <x:row r="61">
      <x:c r="A61" s="3"/>
      <x:c r="B61" s="3"/>
      <x:c r="C61" s="3"/>
      <x:c r="D61" s="3"/>
      <x:c r="E61" s="3"/>
      <x:c r="F61" s="3"/>
      <x:c r="G61" s="3"/>
      <x:c r="H61" s="3"/>
    </x:row>
    <x:row r="62">
      <x:c r="A62" s="3"/>
      <x:c r="B62" s="3"/>
      <x:c r="C62" s="3"/>
      <x:c r="D62" s="3"/>
      <x:c r="E62" s="3"/>
      <x:c r="F62" s="3"/>
      <x:c r="G62" s="3"/>
      <x:c r="H62" s="3"/>
    </x:row>
    <x:row r="63">
      <x:c r="A63" s="3"/>
      <x:c r="B63" s="3"/>
      <x:c r="C63" s="3"/>
      <x:c r="D63" s="3"/>
      <x:c r="E63" s="3"/>
      <x:c r="F63" s="3"/>
      <x:c r="G63" s="3"/>
      <x:c r="H63" s="3"/>
    </x:row>
    <x:row r="64">
      <x:c r="A64" s="3"/>
      <x:c r="B64" s="3"/>
      <x:c r="C64" s="3"/>
      <x:c r="D64" s="3"/>
      <x:c r="E64" s="3"/>
      <x:c r="F64" s="3"/>
      <x:c r="G64" s="3"/>
      <x:c r="H64" s="3"/>
    </x:row>
    <x:row r="65">
      <x:c r="A65" s="3"/>
      <x:c r="B65" s="3"/>
      <x:c r="C65" s="3"/>
      <x:c r="D65" s="3"/>
      <x:c r="E65" s="3"/>
      <x:c r="F65" s="3"/>
      <x:c r="G65" s="3"/>
      <x:c r="H65" s="3"/>
    </x:row>
  </x:sheetData>
  <x:mergeCells>
    <x:mergeCell ref="A1:F1"/>
    <x:mergeCell ref="A2:F3"/>
    <x:mergeCell ref="A5:H5"/>
    <x:mergeCell ref="B6:H6"/>
    <x:mergeCell ref="B7:H7"/>
    <x:mergeCell ref="B8:H8"/>
    <x:mergeCell ref="B9:H9"/>
    <x:mergeCell ref="A11:H11"/>
    <x:mergeCell ref="E17:H17"/>
    <x:mergeCell ref="A19:H19"/>
    <x:mergeCell ref="B20:H20"/>
    <x:mergeCell ref="B21:H21"/>
    <x:mergeCell ref="B22:H22"/>
    <x:mergeCell ref="B23:H23"/>
    <x:mergeCell ref="B24:H24"/>
    <x:mergeCell ref="B25:H25"/>
    <x:mergeCell ref="A28:H28"/>
    <x:mergeCell ref="A29:H29"/>
    <x:mergeCell ref="A30:H30"/>
    <x:mergeCell ref="A31:H31"/>
    <x:mergeCell ref="A32:H32"/>
    <x:mergeCell ref="A35:H35"/>
    <x:mergeCell ref="B36:H36"/>
    <x:mergeCell ref="B37:H37"/>
    <x:mergeCell ref="B38:H38"/>
    <x:mergeCell ref="B39:H39"/>
    <x:mergeCell ref="B40:H40"/>
    <x:mergeCell ref="A43:H45"/>
    <x:mergeCell ref="A48:H48"/>
    <x:mergeCell ref="B49:H49"/>
    <x:mergeCell ref="B50:H50"/>
    <x:mergeCell ref="B51:H5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6CE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779999732971191" hidden="0" customWidth="1"/>
    <x:col min="2" max="2" width="11.670000076293945" hidden="0" customWidth="1"/>
    <x:col min="3" max="3" width="10.890000343322754" hidden="0" customWidth="1"/>
    <x:col min="4" max="4" width="12.890000343322754" hidden="0" customWidth="1"/>
    <x:col min="5" max="5" width="7.78000020980835" hidden="0" customWidth="1"/>
    <x:col min="6" max="6" width="30.559999465942383" hidden="0" customWidth="1"/>
    <x:col min="7" max="7" width="36.11000061035156" hidden="0" customWidth="1"/>
    <x:col min="8" max="8" width="41.66999816894531" hidden="0" customWidth="1"/>
    <x:col min="9" max="9" width="11.109999656677246" hidden="0" customWidth="1"/>
    <x:col min="10" max="10" width="10" hidden="0" customWidth="1"/>
    <x:col min="11" max="11" width="10" hidden="0" customWidth="1"/>
    <x:col min="12" max="12" width="11.109999656677246" hidden="0" customWidth="1"/>
    <x:col min="13" max="13" width="30.559999465942383" hidden="0" customWidth="1"/>
    <x:col min="14" max="14" width="39.439998626708984" hidden="0" customWidth="1"/>
    <x:col min="15" max="15" width="15.5600004196167" hidden="0" customWidth="1"/>
  </x:cols>
  <x:sheetData>
    <x:row r="1" ht="38" customHeight="1">
      <x:c r="A1" s="5" t="str">
        <x:v>FOCURVE · 전체 점검표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</x:row>
    <x:row r="2" ht="26" customHeight="1">
      <x:c r="A2" s="7" t="str">
        <x:v>범위·단계·영역을 필터로 좁혀 한 항목씩 점검하세요. I~M열에 결과를 기록합니다. 통과는 담당자·확인자·날짜·증거까지 있어야 기록 완료로 집계됩니다.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  <x:c r="M2" s="3"/>
      <x:c r="N2" s="3"/>
      <x:c r="O2" s="3"/>
    </x:row>
    <x:row r="3" ht="26" customHeight="1">
      <x:c r="A3" s="7"/>
      <x:c r="B3" s="7"/>
      <x:c r="C3" s="7"/>
      <x:c r="D3" s="7"/>
      <x:c r="E3" s="7"/>
      <x:c r="F3" s="7"/>
      <x:c r="G3" s="3"/>
      <x:c r="H3" s="3"/>
      <x:c r="I3" s="3"/>
      <x:c r="J3" s="3"/>
      <x:c r="K3" s="3"/>
      <x:c r="L3" s="3"/>
      <x:c r="M3" s="3"/>
      <x:c r="N3" s="3"/>
      <x:c r="O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32" customHeight="1">
      <x:c r="A5" s="8" t="str">
        <x:v>ID</x:v>
      </x:c>
      <x:c r="B5" s="8" t="str">
        <x:v>적용 범위</x:v>
      </x:c>
      <x:c r="C5" s="8" t="str">
        <x:v>검증 단계</x:v>
      </x:c>
      <x:c r="D5" s="8" t="str">
        <x:v>영역</x:v>
      </x:c>
      <x:c r="E5" s="8" t="str">
        <x:v>검토 우선</x:v>
      </x:c>
      <x:c r="F5" s="8" t="str">
        <x:v>확인할 사항</x:v>
      </x:c>
      <x:c r="G5" s="8" t="str">
        <x:v>점검 방법</x:v>
      </x:c>
      <x:c r="H5" s="8" t="str">
        <x:v>통과 기준</x:v>
      </x:c>
      <x:c r="I5" s="8" t="str">
        <x:v>상태</x:v>
      </x:c>
      <x:c r="J5" s="8" t="str">
        <x:v>담당자</x:v>
      </x:c>
      <x:c r="K5" s="8" t="str">
        <x:v>확인자</x:v>
      </x:c>
      <x:c r="L5" s="8" t="str">
        <x:v>확인일</x:v>
      </x:c>
      <x:c r="M5" s="8" t="str">
        <x:v>실제 결과·증거·이슈 ID</x:v>
      </x:c>
      <x:c r="N5" s="8" t="str">
        <x:v>근거 / 기준</x:v>
      </x:c>
      <x:c r="O5" s="8" t="str">
        <x:v>기록 점검</x:v>
      </x:c>
    </x:row>
    <x:row r="6" ht="46" customHeight="1">
      <x:c r="A6" s="3" t="str">
        <x:v>D-001</x:v>
      </x:c>
      <x:c r="B6" s="3" t="str">
        <x:v>공통</x:v>
      </x:c>
      <x:c r="C6" s="3" t="str">
        <x:v>문서 검토</x:v>
      </x:c>
      <x:c r="D6" s="3" t="str">
        <x:v>범위·완료 기준</x:v>
      </x:c>
      <x:c r="E6" s="3" t="str">
        <x:v>중요</x:v>
      </x:c>
      <x:c r="F6" s="3" t="str">
        <x:v>필수·선택·PC·향후 플랫폼 범위 구분</x:v>
      </x:c>
      <x:c r="G6" s="3" t="str">
        <x:v>기획 §1–3과 기능 ID·화면·Backlog를 대조</x:v>
      </x:c>
      <x:c r="H6" s="3" t="str">
        <x:v>28개 기존 필수 항목과 변경/추가 사항의 채택·보류·제외 및 검증 단계가 하나의 기준표에서 확인됨</x:v>
      </x:c>
      <x:c r="I6" s="11" t="str">
        <x:v>미점검</x:v>
      </x:c>
      <x:c r="J6" s="11"/>
      <x:c r="K6" s="11"/>
      <x:c r="L6" s="12"/>
      <x:c r="M6" s="11"/>
      <x:c r="N6" s="3" t="str">
        <x:v>FOCURVE_프로젝트_기획안_v1.0_20260918(2).pdf p.41–50, CH04 §1–3; FOCURVE_기능_목록_v1.0.xlsx 시트1!A2:H36</x:v>
      </x:c>
      <x:c r="O6" s="3" t="str">
        <x:f>IF(I6="통과",IF(OR(J6="",K6="",L6="",M6=""),"증거·확인자 보완",IF(J6=K6,"교차 확인 필요","완료")),IF(I6="해당 없음",IF(M6="","제외 사유 필요","범위 제외"),"진행 필요"))</x:f>
        <x:v>진행 필요</x:v>
      </x:c>
    </x:row>
    <x:row r="7" ht="46" customHeight="1">
      <x:c r="A7" s="9" t="str">
        <x:v>D-002</x:v>
      </x:c>
      <x:c r="B7" s="9" t="str">
        <x:v>공통</x:v>
      </x:c>
      <x:c r="C7" s="9" t="str">
        <x:v>문서 검토</x:v>
      </x:c>
      <x:c r="D7" s="9" t="str">
        <x:v>범위·완료 기준</x:v>
      </x:c>
      <x:c r="E7" s="9" t="str">
        <x:v>중요</x:v>
      </x:c>
      <x:c r="F7" s="9" t="str">
        <x:v>한 기능의 설계 추적 연결</x:v>
      </x:c>
      <x:c r="G7" s="9" t="str">
        <x:v>기능 ID에서 흐름→화면/상태→API→ERD/이벤트→테스트→담당을 따라가기</x:v>
      </x:c>
      <x:c r="H7" s="9" t="str">
        <x:v>필수 기능에 끊긴 연결이나 동일 동작의 상충 정의가 없음</x:v>
      </x:c>
      <x:c r="I7" s="11" t="str">
        <x:v>미점검</x:v>
      </x:c>
      <x:c r="J7" s="11" t="str"/>
      <x:c r="K7" s="11" t="str"/>
      <x:c r="L7" s="12" t="str"/>
      <x:c r="M7" s="11" t="str"/>
      <x:c r="N7" s="9" t="str">
        <x:v>FOCURVE_프로젝트_기획안_v1.0_20260918(2).pdf p.101,109,120–121, 공통 계약/설계 산출물/개발 문서</x:v>
      </x:c>
      <x:c r="O7" s="9" t="str">
        <x:f>IF(I7="통과",IF(OR(J7="",K7="",L7="",M7=""),"증거·확인자 보완",IF(J7=K7,"교차 확인 필요","완료")),IF(I7="해당 없음",IF(M7="","제외 사유 필요","범위 제외"),"진행 필요"))</x:f>
        <x:v>진행 필요</x:v>
      </x:c>
    </x:row>
    <x:row r="8" ht="46" customHeight="1">
      <x:c r="A8" s="3" t="str">
        <x:v>D-003</x:v>
      </x:c>
      <x:c r="B8" s="3" t="str">
        <x:v>필수 MVP</x:v>
      </x:c>
      <x:c r="C8" s="3" t="str">
        <x:v>문서 검토</x:v>
      </x:c>
      <x:c r="D8" s="3" t="str">
        <x:v>범위·완료 기준</x:v>
      </x:c>
      <x:c r="E8" s="3" t="str">
        <x:v>중요</x:v>
      </x:c>
      <x:c r="F8" s="3" t="str">
        <x:v>소셜 제공자·인증 오류 설계</x:v>
      </x:c>
      <x:c r="G8" s="3" t="str">
        <x:v>소셜 로그인 지원자와 취소/실패/콜백/기존 계정 처리 확인</x:v>
      </x:c>
      <x:c r="H8" s="3" t="str">
        <x:v>제공자와 기능 ID·화면·API·정책이 명시되고 제공하지 않는 기능은 혼동 없이 표시</x:v>
      </x:c>
      <x:c r="I8" s="11" t="str">
        <x:v>미점검</x:v>
      </x:c>
      <x:c r="J8" s="11" t="str"/>
      <x:c r="K8" s="11" t="str"/>
      <x:c r="L8" s="12" t="str"/>
      <x:c r="M8" s="11" t="str"/>
      <x:c r="N8" s="3" t="str">
        <x:v>FOCURVE_프로젝트_기획안_v1.0_20260918(2).pdf p.41, §1.1; FOCURVE_기능_목록_v1.0.xlsx 시트1!A2:H4</x:v>
      </x:c>
      <x:c r="O8" s="3" t="str">
        <x:f>IF(I8="통과",IF(OR(J8="",K8="",L8="",M8=""),"증거·확인자 보완",IF(J8=K8,"교차 확인 필요","완료")),IF(I8="해당 없음",IF(M8="","제외 사유 필요","범위 제외"),"진행 필요"))</x:f>
        <x:v>진행 필요</x:v>
      </x:c>
    </x:row>
    <x:row r="9" ht="46" customHeight="1">
      <x:c r="A9" s="9" t="str">
        <x:v>D-004</x:v>
      </x:c>
      <x:c r="B9" s="9" t="str">
        <x:v>필수 MVP</x:v>
      </x:c>
      <x:c r="C9" s="9" t="str">
        <x:v>문서 검토</x:v>
      </x:c>
      <x:c r="D9" s="9" t="str">
        <x:v>범위·완료 기준</x:v>
      </x:c>
      <x:c r="E9" s="9" t="str">
        <x:v>중요</x:v>
      </x:c>
      <x:c r="F9" s="9" t="str">
        <x:v>사이트 삭제와 기록 삭제 경계 합의</x:v>
      </x:c>
      <x:c r="G9" s="9" t="str">
        <x:v>PDF p70과 TF-03/09를 비교</x:v>
      </x:c>
      <x:c r="H9" s="9" t="str">
        <x:v>사이트 삭제가 과거 기록에 미치는 효과를 팀이 확정하고 데이터/API/UI/안내가 일치</x:v>
      </x:c>
      <x:c r="I9" s="11" t="str">
        <x:v>미점검</x:v>
      </x:c>
      <x:c r="J9" s="11" t="str"/>
      <x:c r="K9" s="11" t="str"/>
      <x:c r="L9" s="12" t="str"/>
      <x:c r="M9" s="11" t="str"/>
      <x:c r="N9" s="9" t="str">
        <x:v>FOCURVE_프로젝트_기획안_v1.0_20260918(2).pdf p.70, §5.3; FOCURVE_Task_Flow_v1.0 (1).md TF-03/09</x:v>
      </x:c>
      <x:c r="O9" s="9" t="str">
        <x:f>IF(I9="통과",IF(OR(J9="",K9="",L9="",M9=""),"증거·확인자 보완",IF(J9=K9,"교차 확인 필요","완료")),IF(I9="해당 없음",IF(M9="","제외 사유 필요","범위 제외"),"진행 필요"))</x:f>
        <x:v>진행 필요</x:v>
      </x:c>
    </x:row>
    <x:row r="10" ht="61" customHeight="1">
      <x:c r="A10" s="3" t="str">
        <x:v>D-005</x:v>
      </x:c>
      <x:c r="B10" s="3" t="str">
        <x:v>필수 MVP</x:v>
      </x:c>
      <x:c r="C10" s="3" t="str">
        <x:v>문서 검토</x:v>
      </x:c>
      <x:c r="D10" s="3" t="str">
        <x:v>범위·완료 기준</x:v>
      </x:c>
      <x:c r="E10" s="3" t="str">
        <x:v>중요</x:v>
      </x:c>
      <x:c r="F10" s="3" t="str">
        <x:v>보관·삭제 수치 동기화</x:v>
      </x:c>
      <x:c r="G10" s="3" t="str">
        <x:v>계정/게스트/확장 로컬/DB/백업의 처리표 비교</x:v>
      </x:c>
      <x:c r="H10" s="3" t="str">
        <x:v>회원 90일, 미전송 최대7일, 오류·보안 로그 및 백업30일, DB삭제24시간, 백업삭제최대30일 기준을 구현 계약에 반영하고 미확정 게스트는 별도 결정</x:v>
      </x:c>
      <x:c r="I10" s="11" t="str">
        <x:v>미점검</x:v>
      </x:c>
      <x:c r="J10" s="11" t="str"/>
      <x:c r="K10" s="11" t="str"/>
      <x:c r="L10" s="12" t="str"/>
      <x:c r="M10" s="11" t="str"/>
      <x:c r="N10" s="3" t="str">
        <x:v>FOCURVE_프로젝트_기획안_v1.0_20260918(2).pdf p.69–70, §5.3</x:v>
      </x:c>
      <x:c r="O10" s="3" t="str">
        <x:f>IF(I10="통과",IF(OR(J10="",K10="",L10="",M10=""),"증거·확인자 보완",IF(J10=K10,"교차 확인 필요","완료")),IF(I10="해당 없음",IF(M10="","제외 사유 필요","범위 제외"),"진행 필요"))</x:f>
        <x:v>진행 필요</x:v>
      </x:c>
    </x:row>
    <x:row r="11" ht="46" customHeight="1">
      <x:c r="A11" s="9" t="str">
        <x:v>D-006</x:v>
      </x:c>
      <x:c r="B11" s="9" t="str">
        <x:v>필수 MVP</x:v>
      </x:c>
      <x:c r="C11" s="9" t="str">
        <x:v>문서 검토</x:v>
      </x:c>
      <x:c r="D11" s="9" t="str">
        <x:v>범위·완료 기준</x:v>
      </x:c>
      <x:c r="E11" s="9" t="str">
        <x:v>중요</x:v>
      </x:c>
      <x:c r="F11" s="9" t="str">
        <x:v>API·ERD 계약 작성 여부</x:v>
      </x:c>
      <x:c r="G11" s="9" t="str">
        <x:v>기본·추가 기능의 API·ERD 계약과 기능 ID 연결을 확인</x:v>
      </x:c>
      <x:c r="H11" s="9" t="str">
        <x:v>요청/응답/인증/오류/재시도/소유권, PK/FK/unique/정책 스냅샷/삭제/시간 기준이 추적 가능</x:v>
      </x:c>
      <x:c r="I11" s="11" t="str">
        <x:v>미점검</x:v>
      </x:c>
      <x:c r="J11" s="11" t="str"/>
      <x:c r="K11" s="11" t="str"/>
      <x:c r="L11" s="12" t="str"/>
      <x:c r="M11" s="11" t="str"/>
      <x:c r="N11" s="9" t="str">
        <x:v>FOCURVE_프로젝트_기획안_v1.0_20260918(2).pdf p.101,120–121, 공통 계약/데이터베이스/API·이벤트 문서</x:v>
      </x:c>
      <x:c r="O11" s="9" t="str">
        <x:f>IF(I11="통과",IF(OR(J11="",K11="",L11="",M11=""),"증거·확인자 보완",IF(J11=K11,"교차 확인 필요","완료")),IF(I11="해당 없음",IF(M11="","제외 사유 필요","범위 제외"),"진행 필요"))</x:f>
        <x:v>진행 필요</x:v>
      </x:c>
    </x:row>
    <x:row r="12" ht="46" customHeight="1">
      <x:c r="A12" s="3" t="str">
        <x:v>D-007</x:v>
      </x:c>
      <x:c r="B12" s="3" t="str">
        <x:v>필수 MVP</x:v>
      </x:c>
      <x:c r="C12" s="3" t="str">
        <x:v>문서 검토</x:v>
      </x:c>
      <x:c r="D12" s="3" t="str">
        <x:v>범위·완료 기준</x:v>
      </x:c>
      <x:c r="E12" s="3" t="str">
        <x:v>중요</x:v>
      </x:c>
      <x:c r="F12" s="3" t="str">
        <x:v>5인·5과제 동일 조건 준비</x:v>
      </x:c>
      <x:c r="G12" s="3" t="str">
        <x:v>PDF5개 과제를 시작상태/설명/테스트빌드/관찰양식으로 전환</x:v>
      </x:c>
      <x:c r="H12" s="3" t="str">
        <x:v>Chrome데스크톱 목표사용자5명 각5과제,25회; 클릭 위치·정답 힌트 제공 시 실패 판정 규칙 명시</x:v>
      </x:c>
      <x:c r="I12" s="11" t="str">
        <x:v>미점검</x:v>
      </x:c>
      <x:c r="J12" s="11" t="str"/>
      <x:c r="K12" s="11" t="str"/>
      <x:c r="L12" s="12" t="str"/>
      <x:c r="M12" s="11" t="str"/>
      <x:c r="N12" s="3" t="str">
        <x:v>FOCURVE_프로젝트_기획안_v1.0_20260918(2).pdf p.84–86, §6.5</x:v>
      </x:c>
      <x:c r="O12" s="3" t="str">
        <x:f>IF(I12="통과",IF(OR(J12="",K12="",L12="",M12=""),"증거·확인자 보완",IF(J12=K12,"교차 확인 필요","완료")),IF(I12="해당 없음",IF(M12="","제외 사유 필요","범위 제외"),"진행 필요"))</x:f>
        <x:v>진행 필요</x:v>
      </x:c>
    </x:row>
    <x:row r="13" ht="46" customHeight="1">
      <x:c r="A13" s="9" t="str">
        <x:v>D-008</x:v>
      </x:c>
      <x:c r="B13" s="9" t="str">
        <x:v>학기 필수 추가</x:v>
      </x:c>
      <x:c r="C13" s="9" t="str">
        <x:v>문서 검토</x:v>
      </x:c>
      <x:c r="D13" s="9" t="str">
        <x:v>범위·완료 기준</x:v>
      </x:c>
      <x:c r="E13" s="9" t="str">
        <x:v>중요</x:v>
      </x:c>
      <x:c r="F13" s="9" t="str">
        <x:v>예약 정책 충돌 기준</x:v>
      </x:c>
      <x:c r="G13" s="9" t="str">
        <x:v>수동세션·중복예약·자정·종료 시나리오 정의</x:v>
      </x:c>
      <x:c r="H13" s="9" t="str">
        <x:v>정책 우선순위와 적용 시작/종료·시간 기준을 팀이 확정한 뒤 구현 대상으로 지정</x:v>
      </x:c>
      <x:c r="I13" s="11" t="str">
        <x:v>미점검</x:v>
      </x:c>
      <x:c r="J13" s="11" t="str"/>
      <x:c r="K13" s="11" t="str"/>
      <x:c r="L13" s="12" t="str"/>
      <x:c r="M13" s="11" t="str"/>
      <x:c r="N13" s="9" t="str">
        <x:v>FOCURVE_프로젝트_기획안_v1.0_20260918(2).pdf p.45, §2.3</x:v>
      </x:c>
      <x:c r="O13" s="9" t="str">
        <x:f>IF(I13="통과",IF(OR(J13="",K13="",L13="",M13=""),"증거·확인자 보완",IF(J13=K13,"교차 확인 필요","완료")),IF(I13="해당 없음",IF(M13="","제외 사유 필요","범위 제외"),"진행 필요"))</x:f>
        <x:v>진행 필요</x:v>
      </x:c>
    </x:row>
    <x:row r="14" ht="46" customHeight="1">
      <x:c r="A14" s="3" t="str">
        <x:v>D-009</x:v>
      </x:c>
      <x:c r="B14" s="3" t="str">
        <x:v>학기 필수 추가</x:v>
      </x:c>
      <x:c r="C14" s="3" t="str">
        <x:v>문서 검토</x:v>
      </x:c>
      <x:c r="D14" s="3" t="str">
        <x:v>범위·완료 기준</x:v>
      </x:c>
      <x:c r="E14" s="3" t="str">
        <x:v>중요</x:v>
      </x:c>
      <x:c r="F14" s="3" t="str">
        <x:v>실제 이용 시간 정의</x:v>
      </x:c>
      <x:c r="G14" s="3" t="str">
        <x:v>활성탭/비활성/창포커스/중복탭/정지 상태를 검토</x:v>
      </x:c>
      <x:c r="H14" s="3" t="str">
        <x:v>탭 열린 시간과 실제 이용시간을 혼동하지 않고 계산조건·미수집 범위·테스트 기대값을 확정</x:v>
      </x:c>
      <x:c r="I14" s="11" t="str">
        <x:v>미점검</x:v>
      </x:c>
      <x:c r="J14" s="11" t="str"/>
      <x:c r="K14" s="11" t="str"/>
      <x:c r="L14" s="12" t="str"/>
      <x:c r="M14" s="11" t="str"/>
      <x:c r="N14" s="3" t="str">
        <x:v>FOCURVE_프로젝트_기획안_v1.0_20260918(2).pdf p.45, §2.4</x:v>
      </x:c>
      <x:c r="O14" s="3" t="str">
        <x:f>IF(I14="통과",IF(OR(J14="",K14="",L14="",M14=""),"증거·확인자 보완",IF(J14=K14,"교차 확인 필요","완료")),IF(I14="해당 없음",IF(M14="","제외 사유 필요","범위 제외"),"진행 필요"))</x:f>
        <x:v>진행 필요</x:v>
      </x:c>
    </x:row>
    <x:row r="15" ht="61" customHeight="1">
      <x:c r="A15" s="9" t="str">
        <x:v>D-010</x:v>
      </x:c>
      <x:c r="B15" s="9" t="str">
        <x:v>학기 필수 추가</x:v>
      </x:c>
      <x:c r="C15" s="9" t="str">
        <x:v>문서 검토</x:v>
      </x:c>
      <x:c r="D15" s="9" t="str">
        <x:v>범위·완료 기준</x:v>
      </x:c>
      <x:c r="E15" s="9" t="str">
        <x:v>중요</x:v>
      </x:c>
      <x:c r="F15" s="9" t="str">
        <x:v>키워드 검사 범위·오탐·예외</x:v>
      </x:c>
      <x:c r="G15" s="9" t="str">
        <x:v>URL/표시본문 등 검사대상·일치방식·예외목록 결정</x:v>
      </x:c>
      <x:c r="H15" s="9" t="str">
        <x:v>검사 범위와 일치기준 확정, 정상학습 페이지 오차단 및 원문수집 위험 검증, 미확정 범위를 지원으로 표기하지 않음</x:v>
      </x:c>
      <x:c r="I15" s="11" t="str">
        <x:v>미점검</x:v>
      </x:c>
      <x:c r="J15" s="11" t="str"/>
      <x:c r="K15" s="11" t="str"/>
      <x:c r="L15" s="12" t="str"/>
      <x:c r="M15" s="11" t="str"/>
      <x:c r="N15" s="9" t="str">
        <x:v>FOCURVE_프로젝트_기획안_v1.0_20260918(2).pdf p.46, §2.7; FOCURVE_프로젝트_기획안_v1.0_20260918(2).pdf p.68, 페이지 검사</x:v>
      </x:c>
      <x:c r="O15" s="9" t="str">
        <x:f>IF(I15="통과",IF(OR(J15="",K15="",L15="",M15=""),"증거·확인자 보완",IF(J15=K15,"교차 확인 필요","완료")),IF(I15="해당 없음",IF(M15="","제외 사유 필요","범위 제외"),"진행 필요"))</x:f>
        <x:v>진행 필요</x:v>
      </x:c>
    </x:row>
    <x:row r="16" ht="46" customHeight="1">
      <x:c r="A16" s="3" t="str">
        <x:v>D-011</x:v>
      </x:c>
      <x:c r="B16" s="3" t="str">
        <x:v>학기 필수 추가</x:v>
      </x:c>
      <x:c r="C16" s="3" t="str">
        <x:v>문서 검토</x:v>
      </x:c>
      <x:c r="D16" s="3" t="str">
        <x:v>범위·완료 기준</x:v>
      </x:c>
      <x:c r="E16" s="3" t="str">
        <x:v>중요</x:v>
      </x:c>
      <x:c r="F16" s="3" t="str">
        <x:v>성인 사이트 도메인 제한</x:v>
      </x:c>
      <x:c r="G16" s="3" t="str">
        <x:v>검증 도메인목록/사용자등록/예외를 적용하는 우선순위 검토</x:v>
      </x:c>
      <x:c r="H16" s="3" t="str">
        <x:v>도메인 기준·활성여부·예외·세션연계 확정; 모든페이지 자동판별로 설명하지 않음</x:v>
      </x:c>
      <x:c r="I16" s="11" t="str">
        <x:v>미점검</x:v>
      </x:c>
      <x:c r="J16" s="11" t="str"/>
      <x:c r="K16" s="11" t="str"/>
      <x:c r="L16" s="12" t="str"/>
      <x:c r="M16" s="11" t="str"/>
      <x:c r="N16" s="3" t="str">
        <x:v>FOCURVE_프로젝트_기획안_v1.0_20260918(2).pdf p.46, §2.8</x:v>
      </x:c>
      <x:c r="O16" s="3" t="str">
        <x:f>IF(I16="통과",IF(OR(J16="",K16="",L16="",M16=""),"증거·확인자 보완",IF(J16=K16,"교차 확인 필요","완료")),IF(I16="해당 없음",IF(M16="","제외 사유 필요","범위 제외"),"진행 필요"))</x:f>
        <x:v>진행 필요</x:v>
      </x:c>
    </x:row>
    <x:row r="17" ht="61" customHeight="1">
      <x:c r="A17" s="9" t="str">
        <x:v>D-012</x:v>
      </x:c>
      <x:c r="B17" s="9" t="str">
        <x:v>학기 필수 추가</x:v>
      </x:c>
      <x:c r="C17" s="9" t="str">
        <x:v>문서 검토</x:v>
      </x:c>
      <x:c r="D17" s="9" t="str">
        <x:v>범위·완료 기준</x:v>
      </x:c>
      <x:c r="E17" s="9" t="str">
        <x:v>중요</x:v>
      </x:c>
      <x:c r="F17" s="9" t="str">
        <x:v>민감 이미지 블러</x:v>
      </x:c>
      <x:c r="G17" s="9" t="str">
        <x:v>모델/API·민감도·일시보기·오탐/로딩/자원/전송을 검토</x:v>
      </x:c>
      <x:c r="H17" s="9" t="str">
        <x:v>사용자활성/민감도/복원 동작, 원본 비저장 및 외부전송 검토, 성능·오탐 기준을 팀이 확정한 경우만 구현</x:v>
      </x:c>
      <x:c r="I17" s="11" t="str">
        <x:v>미점검</x:v>
      </x:c>
      <x:c r="J17" s="11" t="str"/>
      <x:c r="K17" s="11" t="str"/>
      <x:c r="L17" s="12" t="str"/>
      <x:c r="M17" s="11" t="str"/>
      <x:c r="N17" s="9" t="str">
        <x:v>FOCURVE_프로젝트_기획안_v1.0_20260918(2).pdf p.46, §2.9; FOCURVE_프로젝트_기획안_v1.0_20260918(2).pdf p.66,68, 최소수집</x:v>
      </x:c>
      <x:c r="O17" s="9" t="str">
        <x:f>IF(I17="통과",IF(OR(J17="",K17="",L17="",M17=""),"증거·확인자 보완",IF(J17=K17,"교차 확인 필요","완료")),IF(I17="해당 없음",IF(M17="","제외 사유 필요","범위 제외"),"진행 필요"))</x:f>
        <x:v>진행 필요</x:v>
      </x:c>
    </x:row>
    <x:row r="18" ht="46" customHeight="1">
      <x:c r="A18" s="3" t="str">
        <x:v>D-013</x:v>
      </x:c>
      <x:c r="B18" s="3" t="str">
        <x:v>학기 필수 추가</x:v>
      </x:c>
      <x:c r="C18" s="3" t="str">
        <x:v>문서 검토</x:v>
      </x:c>
      <x:c r="D18" s="3" t="str">
        <x:v>범위·완료 기준</x:v>
      </x:c>
      <x:c r="E18" s="3" t="str">
        <x:v>중요</x:v>
      </x:c>
      <x:c r="F18" s="3" t="str">
        <x:v>AI 피드백과 자동 정책 변경 경계</x:v>
      </x:c>
      <x:c r="G18" s="3" t="str">
        <x:v>AI입력·요약·조정후보·사용자확인 흐름 확인</x:v>
      </x:c>
      <x:c r="H18" s="3" t="str">
        <x:v>필요 행동집계만 전달, AI가 정책 자동변경하지 않음, 오류/정보부족/미사용 화면과 사용자 선택 경로 명시</x:v>
      </x:c>
      <x:c r="I18" s="11" t="str">
        <x:v>미점검</x:v>
      </x:c>
      <x:c r="J18" s="11" t="str"/>
      <x:c r="K18" s="11" t="str"/>
      <x:c r="L18" s="12" t="str"/>
      <x:c r="M18" s="11" t="str"/>
      <x:c r="N18" s="3" t="str">
        <x:v>FOCURVE_프로젝트_기획안_v1.0_20260918(2).pdf p.47,50,66, §2.10/§3.4/최소수집</x:v>
      </x:c>
      <x:c r="O18" s="3" t="str">
        <x:f>IF(I18="통과",IF(OR(J18="",K18="",L18="",M18=""),"증거·확인자 보완",IF(J18=K18,"교차 확인 필요","완료")),IF(I18="해당 없음",IF(M18="","제외 사유 필요","범위 제외"),"진행 필요"))</x:f>
        <x:v>진행 필요</x:v>
      </x:c>
    </x:row>
    <x:row r="19" ht="46" customHeight="1">
      <x:c r="A19" s="9" t="str">
        <x:v>D-014</x:v>
      </x:c>
      <x:c r="B19" s="9" t="str">
        <x:v>Desktop</x:v>
      </x:c>
      <x:c r="C19" s="9" t="str">
        <x:v>문서 검토</x:v>
      </x:c>
      <x:c r="D19" s="9" t="str">
        <x:v>Desktop·확장</x:v>
      </x:c>
      <x:c r="E19" s="9" t="str">
        <x:v>중요</x:v>
      </x:c>
      <x:c r="F19" s="9" t="str">
        <x:v>Desktop 설계 산출물 연결</x:v>
      </x:c>
      <x:c r="G19" s="9" t="str">
        <x:v>등록·목록·세션·실행감지·제한결과·웹조회·통신장애·로그아웃 흐름 추적</x:v>
      </x:c>
      <x:c r="H19" s="9" t="str">
        <x:v>PC확장 기능ID·화면·API·ERD·전용이벤트·통계가 웹과 구분되고 같은 사용자/세션으로 연결</x:v>
      </x:c>
      <x:c r="I19" s="11" t="str">
        <x:v>미점검</x:v>
      </x:c>
      <x:c r="J19" s="11" t="str"/>
      <x:c r="K19" s="11" t="str"/>
      <x:c r="L19" s="12" t="str"/>
      <x:c r="M19" s="11" t="str"/>
      <x:c r="N19" s="9" t="str">
        <x:v>FOCURVE_프로젝트_기획안_v1.0_20260918(2).pdf p.47,58,120–121, PC확장/전용이벤트/산출물</x:v>
      </x:c>
      <x:c r="O19" s="9" t="str">
        <x:f>IF(I19="통과",IF(OR(J19="",K19="",L19="",M19=""),"증거·확인자 보완",IF(J19=K19,"교차 확인 필요","완료")),IF(I19="해당 없음",IF(M19="","제외 사유 필요","범위 제외"),"진행 필요"))</x:f>
        <x:v>진행 필요</x:v>
      </x:c>
    </x:row>
    <x:row r="20" ht="46" customHeight="1">
      <x:c r="A20" s="3" t="str">
        <x:v>D-015</x:v>
      </x:c>
      <x:c r="B20" s="3" t="str">
        <x:v>향후 플랫폼</x:v>
      </x:c>
      <x:c r="C20" s="3" t="str">
        <x:v>문서 검토</x:v>
      </x:c>
      <x:c r="D20" s="3" t="str">
        <x:v>범위·완료 기준</x:v>
      </x:c>
      <x:c r="E20" s="3" t="str">
        <x:v>중요</x:v>
      </x:c>
      <x:c r="F20" s="3" t="str">
        <x:v>모바일·다중기기 단계 분리</x:v>
      </x:c>
      <x:c r="G20" s="3" t="str">
        <x:v>조회→설정동기화→세션/기록연동→모바일 제한 후보 검토</x:v>
      </x:c>
      <x:c r="H20" s="3" t="str">
        <x:v>각 단계 착수조건/지원OS/권한/동기화충돌 정의, 단순모바일조회와 앱제어를 같은 완료로 보지 않음</x:v>
      </x:c>
      <x:c r="I20" s="11" t="str">
        <x:v>미점검</x:v>
      </x:c>
      <x:c r="J20" s="11" t="str"/>
      <x:c r="K20" s="11" t="str"/>
      <x:c r="L20" s="12" t="str"/>
      <x:c r="M20" s="11" t="str"/>
      <x:c r="N20" s="3" t="str">
        <x:v>FOCURVE_프로젝트_기획안_v1.0_20260918(2).pdf p.137–138, §5.4</x:v>
      </x:c>
      <x:c r="O20" s="3" t="str">
        <x:f>IF(I20="통과",IF(OR(J20="",K20="",L20="",M20=""),"증거·확인자 보완",IF(J20=K20,"교차 확인 필요","완료")),IF(I20="해당 없음",IF(M20="","제외 사유 필요","범위 제외"),"진행 필요"))</x:f>
        <x:v>진행 필요</x:v>
      </x:c>
    </x:row>
    <x:row r="21" ht="46" customHeight="1">
      <x:c r="A21" s="9" t="str">
        <x:v>D-016</x:v>
      </x:c>
      <x:c r="B21" s="9" t="str">
        <x:v>공통</x:v>
      </x:c>
      <x:c r="C21" s="9" t="str">
        <x:v>문서 검토</x:v>
      </x:c>
      <x:c r="D21" s="9" t="str">
        <x:v>범위·완료 기준</x:v>
      </x:c>
      <x:c r="E21" s="9" t="str">
        <x:v>중요</x:v>
      </x:c>
      <x:c r="F21" s="9" t="str">
        <x:v>담당·교차리뷰·계약 변경 책임</x:v>
      </x:c>
      <x:c r="G21" s="9" t="str">
        <x:v>Backlog의 작업/담당/리뷰자/완료기준/선행조건 대조</x:v>
      </x:c>
      <x:c r="H21" s="9" t="str">
        <x:v>세 팀원이 공통계약과 범위를 동일하게 설명하고 변경 영향 받는 문서·영역을 함께 검토</x:v>
      </x:c>
      <x:c r="I21" s="11" t="str">
        <x:v>미점검</x:v>
      </x:c>
      <x:c r="J21" s="11" t="str"/>
      <x:c r="K21" s="11" t="str"/>
      <x:c r="L21" s="12" t="str"/>
      <x:c r="M21" s="11" t="str"/>
      <x:c r="N21" s="9" t="str">
        <x:v>FOCURVE_프로젝트_기획안_v1.0_20260918(2).pdf p.101,109, 역할분담/설계기간</x:v>
      </x:c>
      <x:c r="O21" s="9" t="str">
        <x:f>IF(I21="통과",IF(OR(J21="",K21="",L21="",M21=""),"증거·확인자 보완",IF(J21=K21,"교차 확인 필요","완료")),IF(I21="해당 없음",IF(M21="","제외 사유 필요","범위 제외"),"진행 필요"))</x:f>
        <x:v>진행 필요</x:v>
      </x:c>
    </x:row>
    <x:row r="22" ht="46" customHeight="1">
      <x:c r="A22" s="3" t="str">
        <x:v>D-017</x:v>
      </x:c>
      <x:c r="B22" s="3" t="str">
        <x:v>필수 MVP</x:v>
      </x:c>
      <x:c r="C22" s="3" t="str">
        <x:v>문서 검토</x:v>
      </x:c>
      <x:c r="D22" s="3" t="str">
        <x:v>범위·문서</x:v>
      </x:c>
      <x:c r="E22" s="3" t="str">
        <x:v>선결</x:v>
      </x:c>
      <x:c r="F22" s="3" t="str">
        <x:v>확정 정책과 초안 정책을 구분한다.</x:v>
      </x:c>
      <x:c r="G22" s="3" t="str">
        <x:v>각 문서의 초안/제안/후속 결정 표현을 결정대장에 모아 담당자·결정기한을 적는다.</x:v>
      </x:c>
      <x:c r="H22" s="3" t="str">
        <x:v>보관·중단·계정 이전·인증 제공자·시간 입력 범위의 상태와 기준 버전이 명시되고 미확정을 통과 처리하지 않는다.</x:v>
      </x:c>
      <x:c r="I22" s="11" t="str">
        <x:v>미점검</x:v>
      </x:c>
      <x:c r="J22" s="11" t="str"/>
      <x:c r="K22" s="11" t="str"/>
      <x:c r="L22" s="12" t="str"/>
      <x:c r="M22" s="11" t="str"/>
      <x:c r="N22" s="3" t="str">
        <x:v>FOCURVE_LowFi_설계.md 301~307행</x:v>
      </x:c>
      <x:c r="O22" s="3" t="str">
        <x:f>IF(I22="통과",IF(OR(J22="",K22="",L22="",M22=""),"증거·확인자 보완",IF(J22=K22,"교차 확인 필요","완료")),IF(I22="해당 없음",IF(M22="","제외 사유 필요","범위 제외"),"진행 필요"))</x:f>
        <x:v>진행 필요</x:v>
      </x:c>
    </x:row>
    <x:row r="23" ht="46" customHeight="1">
      <x:c r="A23" s="9" t="str">
        <x:v>D-018</x:v>
      </x:c>
      <x:c r="B23" s="9" t="str">
        <x:v>필수 MVP</x:v>
      </x:c>
      <x:c r="C23" s="9" t="str">
        <x:v>문서 검토</x:v>
      </x:c>
      <x:c r="D23" s="9" t="str">
        <x:v>범위·문서</x:v>
      </x:c>
      <x:c r="E23" s="9" t="str">
        <x:v>선결</x:v>
      </x:c>
      <x:c r="F23" s="9" t="str">
        <x:v>필수와 추가 기능을 UI 페이지별로 구분한다.</x:v>
      </x:c>
      <x:c r="G23" s="9" t="str">
        <x:v>기본 MVP와 확장 페이지에서 AI·시간대 차트·Reels·일시정지·Desktop 노출을 대조한다.</x:v>
      </x:c>
      <x:c r="H23" s="9" t="str">
        <x:v>선택 항목은 해당 버전에만 있으며 기본 MVP의 구현 범위로 잘못 배정되지 않는다.</x:v>
      </x:c>
      <x:c r="I23" s="11" t="str">
        <x:v>미점검</x:v>
      </x:c>
      <x:c r="J23" s="11" t="str"/>
      <x:c r="K23" s="11" t="str"/>
      <x:c r="L23" s="12" t="str"/>
      <x:c r="M23" s="11" t="str"/>
      <x:c r="N23" s="9" t="str">
        <x:v>FOCURVE_LowFi_설계.md 31~43행</x:v>
      </x:c>
      <x:c r="O23" s="9" t="str">
        <x:f>IF(I23="통과",IF(OR(J23="",K23="",L23="",M23=""),"증거·확인자 보완",IF(J23=K23,"교차 확인 필요","완료")),IF(I23="해당 없음",IF(M23="","제외 사유 필요","범위 제외"),"진행 필요"))</x:f>
        <x:v>진행 필요</x:v>
      </x:c>
    </x:row>
    <x:row r="24" ht="46" customHeight="1">
      <x:c r="A24" s="3" t="str">
        <x:v>D-019</x:v>
      </x:c>
      <x:c r="B24" s="3" t="str">
        <x:v>필수 MVP</x:v>
      </x:c>
      <x:c r="C24" s="3" t="str">
        <x:v>문서 검토</x:v>
      </x:c>
      <x:c r="D24" s="3" t="str">
        <x:v>세션 생명주기</x:v>
      </x:c>
      <x:c r="E24" s="3" t="str">
        <x:v>선결</x:v>
      </x:c>
      <x:c r="F24" s="3" t="str">
        <x:v>중단·재시작·권한 상실 복구 규칙을 결정하고 검사한다.</x:v>
      </x:c>
      <x:c r="G24" s="3" t="str">
        <x:v>브라우저 재시작, 확장 재시작, 절전/복귀, 필수 권한 회수에 대한 상태 전이 표를 작성한다.</x:v>
      </x:c>
      <x:c r="H24" s="3" t="str">
        <x:v>마지막 확인 시점과 계속/중단/해제 판단이 확정되고 INTERRUPTED를 정상 완료로 표시하지 않는다.</x:v>
      </x:c>
      <x:c r="I24" s="11" t="str">
        <x:v>미점검</x:v>
      </x:c>
      <x:c r="J24" s="11" t="str"/>
      <x:c r="K24" s="11" t="str"/>
      <x:c r="L24" s="12" t="str"/>
      <x:c r="M24" s="11" t="str"/>
      <x:c r="N24" s="3" t="str">
        <x:v>FOCURVE_Event_Schema_v1.0(1).md 207~216행</x:v>
      </x:c>
      <x:c r="O24" s="3" t="str">
        <x:f>IF(I24="통과",IF(OR(J24="",K24="",L24="",M24=""),"증거·확인자 보완",IF(J24=K24,"교차 확인 필요","완료")),IF(I24="해당 없음",IF(M24="","제외 사유 필요","범위 제외"),"진행 필요"))</x:f>
        <x:v>진행 필요</x:v>
      </x:c>
    </x:row>
    <x:row r="25" ht="46" customHeight="1">
      <x:c r="A25" s="9" t="str">
        <x:v>D-020</x:v>
      </x:c>
      <x:c r="B25" s="9" t="str">
        <x:v>필수 MVP</x:v>
      </x:c>
      <x:c r="C25" s="9" t="str">
        <x:v>문서 검토</x:v>
      </x:c>
      <x:c r="D25" s="9" t="str">
        <x:v>접근 경계</x:v>
      </x:c>
      <x:c r="E25" s="9" t="str">
        <x:v>선결</x:v>
      </x:c>
      <x:c r="F25" s="9" t="str">
        <x:v>리디렉션의 동일/다른 대상별 기대 건수를 확정한다.</x:v>
      </x:c>
      <x:c r="G25" s="9" t="str">
        <x:v>A→A 하위도메인, A→등록 B 리디렉션을 TF와 Schema에 같은 예제로 작성한다.</x:v>
      </x:c>
      <x:c r="H25" s="9" t="str">
        <x:v>같은 대상 중복 제거와 다른 대상 별도 접근 여부가 하나의 승인된 규칙이며 테스트 기대 건수가 명시된다.</x:v>
      </x:c>
      <x:c r="I25" s="11" t="str">
        <x:v>미점검</x:v>
      </x:c>
      <x:c r="J25" s="11" t="str"/>
      <x:c r="K25" s="11" t="str"/>
      <x:c r="L25" s="12" t="str"/>
      <x:c r="M25" s="11" t="str"/>
      <x:c r="N25" s="9" t="str">
        <x:v>FOCURVE_Task_Flow_v1.0 (1).md 479행</x:v>
      </x:c>
      <x:c r="O25" s="9" t="str">
        <x:f>IF(I25="통과",IF(OR(J25="",K25="",L25="",M25=""),"증거·확인자 보완",IF(J25=K25,"교차 확인 필요","완료")),IF(I25="해당 없음",IF(M25="","제외 사유 필요","범위 제외"),"진행 필요"))</x:f>
        <x:v>진행 필요</x:v>
      </x:c>
    </x:row>
    <x:row r="26" ht="46" customHeight="1">
      <x:c r="A26" s="3" t="str">
        <x:v>D-021</x:v>
      </x:c>
      <x:c r="B26" s="3" t="str">
        <x:v>필수 MVP</x:v>
      </x:c>
      <x:c r="C26" s="3" t="str">
        <x:v>문서 검토</x:v>
      </x:c>
      <x:c r="D26" s="3" t="str">
        <x:v>이벤트·반복</x:v>
      </x:c>
      <x:c r="E26" s="3" t="str">
        <x:v>선결</x:v>
      </x:c>
      <x:c r="F26" s="3" t="str">
        <x:v>같은 attempt의 유형 충돌에 대한 처리 결정을 통일한다.</x:v>
      </x:c>
      <x:c r="G26" s="3" t="str">
        <x:v>동일 session·attempt·target에 차단/기록 등 충돌 payload를 전송하는 사례를 결정대장에 올린다.</x:v>
      </x:c>
      <x:c r="H26" s="3" t="str">
        <x:v>기존 건 유지 또는 양쪽 보류의 정책을 확정하고 모든 화면/집계/API에서 같은 결과를 사용한다.</x:v>
      </x:c>
      <x:c r="I26" s="11" t="str">
        <x:v>미점검</x:v>
      </x:c>
      <x:c r="J26" s="11" t="str"/>
      <x:c r="K26" s="11" t="str"/>
      <x:c r="L26" s="12" t="str"/>
      <x:c r="M26" s="11" t="str"/>
      <x:c r="N26" s="3" t="str">
        <x:v>FOCURVE_Event_Schema_v1.0(1).md 177행</x:v>
      </x:c>
      <x:c r="O26" s="3" t="str">
        <x:f>IF(I26="통과",IF(OR(J26="",K26="",L26="",M26=""),"증거·확인자 보완",IF(J26=K26,"교차 확인 필요","완료")),IF(I26="해당 없음",IF(M26="","제외 사유 필요","범위 제외"),"진행 필요"))</x:f>
        <x:v>진행 필요</x:v>
      </x:c>
    </x:row>
    <x:row r="27" ht="46" customHeight="1">
      <x:c r="A27" s="9" t="str">
        <x:v>D-022</x:v>
      </x:c>
      <x:c r="B27" s="9" t="str">
        <x:v>필수 MVP</x:v>
      </x:c>
      <x:c r="C27" s="9" t="str">
        <x:v>문서 검토</x:v>
      </x:c>
      <x:c r="D27" s="9" t="str">
        <x:v>수치·시간</x:v>
      </x:c>
      <x:c r="E27" s="9" t="str">
        <x:v>선결</x:v>
      </x:c>
      <x:c r="F27" s="9" t="str">
        <x:v>자정 세션의 집중시간·종료종류별 집계 규칙을 확정한다.</x:v>
      </x:c>
      <x:c r="G27" s="9" t="str">
        <x:v>23:50~00:20 정상완료, 직접종료, 중단 사례를 표로 작성한다.</x:v>
      </x:c>
      <x:c r="H27" s="9" t="str">
        <x:v>각 날짜의 집중시간·완료 수·표시 반올림 결과를 승인하고 DASH와 STAT가 같은 공식을 사용한다.</x:v>
      </x:c>
      <x:c r="I27" s="11" t="str">
        <x:v>미점검</x:v>
      </x:c>
      <x:c r="J27" s="11" t="str"/>
      <x:c r="K27" s="11" t="str"/>
      <x:c r="L27" s="12" t="str"/>
      <x:c r="M27" s="11" t="str"/>
      <x:c r="N27" s="9" t="str">
        <x:v>FOCURVE_LowFi_설계.md 82~95행</x:v>
      </x:c>
      <x:c r="O27" s="9" t="str">
        <x:f>IF(I27="통과",IF(OR(J27="",K27="",L27="",M27=""),"증거·확인자 보완",IF(J27=K27,"교차 확인 필요","완료")),IF(I27="해당 없음",IF(M27="","제외 사유 필요","범위 제외"),"진행 필요"))</x:f>
        <x:v>진행 필요</x:v>
      </x:c>
    </x:row>
    <x:row r="28" ht="46" customHeight="1">
      <x:c r="A28" s="3" t="str">
        <x:v>D-023</x:v>
      </x:c>
      <x:c r="B28" s="3" t="str">
        <x:v>필수 MVP</x:v>
      </x:c>
      <x:c r="C28" s="3" t="str">
        <x:v>문서 검토</x:v>
      </x:c>
      <x:c r="D28" s="3" t="str">
        <x:v>수치·시간</x:v>
      </x:c>
      <x:c r="E28" s="3" t="str">
        <x:v>선결</x:v>
      </x:c>
      <x:c r="F28" s="3" t="str">
        <x:v>클라이언트 시계 이상과 이벤트 경계를 검증한다.</x:v>
      </x:c>
      <x:c r="G28" s="3" t="str">
        <x:v>시작 직전/정각/종료 직전/정각 이벤트, 시계를 앞뒤로 변경한 이벤트를 수신한다.</x:v>
      </x:c>
      <x:c r="H28" s="3" t="str">
        <x:v>승인된 허용 오차 및 [시작,종료) 규칙을 따르고 문제 시각은 확인 필요로 처리하며 수신 시각으로 몰래 바꾸지 않는다.</x:v>
      </x:c>
      <x:c r="I28" s="11" t="str">
        <x:v>미점검</x:v>
      </x:c>
      <x:c r="J28" s="11" t="str"/>
      <x:c r="K28" s="11" t="str"/>
      <x:c r="L28" s="12" t="str"/>
      <x:c r="M28" s="11" t="str"/>
      <x:c r="N28" s="3" t="str">
        <x:v>FOCURVE_Event_Schema_v1.0(1).md 166,216,345행</x:v>
      </x:c>
      <x:c r="O28" s="3" t="str">
        <x:f>IF(I28="통과",IF(OR(J28="",K28="",L28="",M28=""),"증거·확인자 보완",IF(J28=K28,"교차 확인 필요","완료")),IF(I28="해당 없음",IF(M28="","제외 사유 필요","범위 제외"),"진행 필요"))</x:f>
        <x:v>진행 필요</x:v>
      </x:c>
    </x:row>
    <x:row r="29" ht="46" customHeight="1">
      <x:c r="A29" s="9" t="str">
        <x:v>D-024</x:v>
      </x:c>
      <x:c r="B29" s="9" t="str">
        <x:v>필수 MVP</x:v>
      </x:c>
      <x:c r="C29" s="9" t="str">
        <x:v>문서 검토</x:v>
      </x:c>
      <x:c r="D29" s="9" t="str">
        <x:v>이전·복구</x:v>
      </x:c>
      <x:c r="E29" s="9" t="str">
        <x:v>선결</x:v>
      </x:c>
      <x:c r="F29" s="9" t="str">
        <x:v>비회원 보관과 만료 처리의 최종 정책을 결정한다.</x:v>
      </x:c>
      <x:c r="G29" s="9" t="str">
        <x:v>30일/90일 초안, 만료 경계, 일부 이벤트만 만료된 세션, 가져오기 시점을 검토한다.</x:v>
      </x:c>
      <x:c r="H29" s="9" t="str">
        <x:v>기간·기준시각·세션 부분만료·미전송 예외가 확정되어 원래 발생일을 유지하고 이전일로 보관기한을 갱신하지 않는다.</x:v>
      </x:c>
      <x:c r="I29" s="11" t="str">
        <x:v>미점검</x:v>
      </x:c>
      <x:c r="J29" s="11" t="str"/>
      <x:c r="K29" s="11" t="str"/>
      <x:c r="L29" s="12" t="str"/>
      <x:c r="M29" s="11" t="str"/>
      <x:c r="N29" s="9" t="str">
        <x:v>FOCURVE_Event_Schema_v1.0(1).md 17행</x:v>
      </x:c>
      <x:c r="O29" s="9" t="str">
        <x:f>IF(I29="통과",IF(OR(J29="",K29="",L29="",M29=""),"증거·확인자 보완",IF(J29=K29,"교차 확인 필요","완료")),IF(I29="해당 없음",IF(M29="","제외 사유 필요","범위 제외"),"진행 필요"))</x:f>
        <x:v>진행 필요</x:v>
      </x:c>
    </x:row>
    <x:row r="30" ht="46" customHeight="1">
      <x:c r="A30" s="3" t="str">
        <x:v>D-025</x:v>
      </x:c>
      <x:c r="B30" s="3" t="str">
        <x:v>필수 MVP</x:v>
      </x:c>
      <x:c r="C30" s="3" t="str">
        <x:v>문서 검토</x:v>
      </x:c>
      <x:c r="D30" s="3" t="str">
        <x:v>계정·개인정보</x:v>
      </x:c>
      <x:c r="E30" s="3" t="str">
        <x:v>선결</x:v>
      </x:c>
      <x:c r="F30" s="3" t="str">
        <x:v>로그아웃의 미전송 자료 처리 정책을 확정한다.</x:v>
      </x:c>
      <x:c r="G30" s="3" t="str">
        <x:v>미전송 기록이 있는 상태에서 로그아웃→비회원→다른 계정→원래 계정 재로그인을 검토한다.</x:v>
      </x:c>
      <x:c r="H30" s="3" t="str">
        <x:v>보존/삭제·복구 규칙이 승인되어 기록이 타 계정으로 전송되지 않고 필요한 데이터 유실 안내 및 취소가 제공된다.</x:v>
      </x:c>
      <x:c r="I30" s="11" t="str">
        <x:v>미점검</x:v>
      </x:c>
      <x:c r="J30" s="11" t="str"/>
      <x:c r="K30" s="11" t="str"/>
      <x:c r="L30" s="12" t="str"/>
      <x:c r="M30" s="11" t="str"/>
      <x:c r="N30" s="3" t="str">
        <x:v>FOCURVE_Task_Flow_v1.0 (1).md 750~754행</x:v>
      </x:c>
      <x:c r="O30" s="3" t="str">
        <x:f>IF(I30="통과",IF(OR(J30="",K30="",L30="",M30=""),"증거·확인자 보완",IF(J30=K30,"교차 확인 필요","완료")),IF(I30="해당 없음",IF(M30="","제외 사유 필요","범위 제외"),"진행 필요"))</x:f>
        <x:v>진행 필요</x:v>
      </x:c>
    </x:row>
    <x:row r="31" ht="46" customHeight="1">
      <x:c r="A31" s="9" t="str">
        <x:v>D-026</x:v>
      </x:c>
      <x:c r="B31" s="9" t="str">
        <x:v>필수 MVP</x:v>
      </x:c>
      <x:c r="C31" s="9" t="str">
        <x:v>문서 검토</x:v>
      </x:c>
      <x:c r="D31" s="9" t="str">
        <x:v>계정·개인정보</x:v>
      </x:c>
      <x:c r="E31" s="9" t="str">
        <x:v>선결</x:v>
      </x:c>
      <x:c r="F31" s="9" t="str">
        <x:v>다른 계정으로 비회원 원본을 재이전할 수 있는지 결정한다.</x:v>
      </x:c>
      <x:c r="G31" s="9" t="str">
        <x:v>A로 부분 이전 후 B 로그인하여 남은 자료/같은 원본을 선택하는 사례를 검토한다.</x:v>
      </x:c>
      <x:c r="H31" s="9" t="str">
        <x:v>허용 또는 금지, 소유 매핑, 중복 기준을 결정하고 원치 않는 계정 자동이전이 없다.</x:v>
      </x:c>
      <x:c r="I31" s="11" t="str">
        <x:v>미점검</x:v>
      </x:c>
      <x:c r="J31" s="11" t="str"/>
      <x:c r="K31" s="11" t="str"/>
      <x:c r="L31" s="12" t="str"/>
      <x:c r="M31" s="11" t="str"/>
      <x:c r="N31" s="9" t="str">
        <x:v>FOCURVE_Event_Schema_v1.0(1).md 362행</x:v>
      </x:c>
      <x:c r="O31" s="9" t="str">
        <x:f>IF(I31="통과",IF(OR(J31="",K31="",L31="",M31=""),"증거·확인자 보완",IF(J31=K31,"교차 확인 필요","완료")),IF(I31="해당 없음",IF(M31="","제외 사유 필요","범위 제외"),"진행 필요"))</x:f>
        <x:v>진행 필요</x:v>
      </x:c>
    </x:row>
    <x:row r="32" ht="46" customHeight="1">
      <x:c r="A32" s="3" t="str">
        <x:v>D-027</x:v>
      </x:c>
      <x:c r="B32" s="3" t="str">
        <x:v>공통</x:v>
      </x:c>
      <x:c r="C32" s="3" t="str">
        <x:v>문서 검토</x:v>
      </x:c>
      <x:c r="D32" s="3" t="str">
        <x:v>화면 매핑</x:v>
      </x:c>
      <x:c r="E32" s="3" t="str">
        <x:v>선결</x:v>
      </x:c>
      <x:c r="F32" s="3" t="str">
        <x:v>12개 화면 ID와 현재 High-Fi 프레임을 연결했는가</x:v>
      </x:c>
      <x:c r="G32" s="3" t="str">
        <x:v>등록 목록 12개를 현재 검토할 기본/추가 기능·라이트/다크 페이지와 대조한다.</x:v>
      </x:c>
      <x:c r="H32" s="3" t="str">
        <x:v>각 ID에 검토 대상 링크와 범위가 있고 상태 프레임은 같은 ID 아래 구분된다.</x:v>
      </x:c>
      <x:c r="I32" s="11" t="str">
        <x:v>미점검</x:v>
      </x:c>
      <x:c r="J32" s="11" t="str"/>
      <x:c r="K32" s="11" t="str"/>
      <x:c r="L32" s="12" t="str"/>
      <x:c r="M32" s="11" t="str"/>
      <x:c r="N32" s="3" t="str">
        <x:v>FOCURVE 화면 설계 v1.0.xlsx 시트1!A2:F13</x:v>
      </x:c>
      <x:c r="O32" s="3" t="str">
        <x:f>IF(I32="통과",IF(OR(J32="",K32="",L32="",M32=""),"증거·확인자 보완",IF(J32=K32,"교차 확인 필요","완료")),IF(I32="해당 없음",IF(M32="","제외 사유 필요","범위 제외"),"진행 필요"))</x:f>
        <x:v>진행 필요</x:v>
      </x:c>
    </x:row>
    <x:row r="33" ht="46" customHeight="1">
      <x:c r="A33" s="9" t="str">
        <x:v>D-028</x:v>
      </x:c>
      <x:c r="B33" s="9" t="str">
        <x:v>공통</x:v>
      </x:c>
      <x:c r="C33" s="9" t="str">
        <x:v>문서 검토</x:v>
      </x:c>
      <x:c r="D33" s="9" t="str">
        <x:v>화면 매핑</x:v>
      </x:c>
      <x:c r="E33" s="9" t="str">
        <x:v>중요</x:v>
      </x:c>
      <x:c r="F33" s="9" t="str">
        <x:v>나머지 9개 화면의 상세 계약을 확인했는가</x:v>
      </x:c>
      <x:c r="G33" s="9" t="str">
        <x:v>LOGIN·SIGNUP·DASH·SITE-01·LOG-01·LOG-02·STAT·SETTING·EXT-02의 입력/버튼/상태 표를 찾거나 작성한다.</x:v>
      </x:c>
      <x:c r="H33" s="9" t="str">
        <x:v>개요만 있는 화면에 대해 팀이 사용할 상세 명세 위치가 정해진다.</x:v>
      </x:c>
      <x:c r="I33" s="11" t="str">
        <x:v>미점검</x:v>
      </x:c>
      <x:c r="J33" s="11" t="str"/>
      <x:c r="K33" s="11" t="str"/>
      <x:c r="L33" s="12" t="str"/>
      <x:c r="M33" s="11" t="str"/>
      <x:c r="N33" s="9" t="str">
        <x:v>FOCURVE 화면 설계 v1.0.xlsx 시트1!A2:F13; FOCURVE_LowFi_설계.md 120~271행</x:v>
      </x:c>
      <x:c r="O33" s="9" t="str">
        <x:f>IF(I33="통과",IF(OR(J33="",K33="",L33="",M33=""),"증거·확인자 보완",IF(J33=K33,"교차 확인 필요","완료")),IF(I33="해당 없음",IF(M33="","제외 사유 필요","범위 제외"),"진행 필요"))</x:f>
        <x:v>진행 필요</x:v>
      </x:c>
    </x:row>
    <x:row r="34" ht="46" customHeight="1">
      <x:c r="A34" s="3" t="str">
        <x:v>D-029</x:v>
      </x:c>
      <x:c r="B34" s="3" t="str">
        <x:v>필수 MVP</x:v>
      </x:c>
      <x:c r="C34" s="3" t="str">
        <x:v>문서 검토</x:v>
      </x:c>
      <x:c r="D34" s="3" t="str">
        <x:v>입력 검증</x:v>
      </x:c>
      <x:c r="E34" s="3" t="str">
        <x:v>선결</x:v>
      </x:c>
      <x:c r="F34" s="3" t="str">
        <x:v>[SITE-02·EXT-01] 주소의 허용 형태와 길이 기준을 합의했는가</x:v>
      </x:c>
      <x:c r="G34" s="3" t="str">
        <x:v>스킴 유무·IP·localhost·IDN·최대 길이 초과 사례의 허용/거절 및 표시 문구를 결정한다.</x:v>
      </x:c>
      <x:c r="H34" s="3" t="str">
        <x:v>Web·Extension·Server가 같은 사례표를 사용한다.</x:v>
      </x:c>
      <x:c r="I34" s="11" t="str">
        <x:v>미점검</x:v>
      </x:c>
      <x:c r="J34" s="11" t="str"/>
      <x:c r="K34" s="11" t="str"/>
      <x:c r="L34" s="12" t="str"/>
      <x:c r="M34" s="11" t="str"/>
      <x:c r="N34" s="3" t="str">
        <x:v>FOCURVE 화면 명세 v1.0.xlsx 시트1!D28:F28; EXT-01 확장 프로그램 팝업 명세.xlsx 시트1!E21</x:v>
      </x:c>
      <x:c r="O34" s="3" t="str">
        <x:f>IF(I34="통과",IF(OR(J34="",K34="",L34="",M34=""),"증거·확인자 보완",IF(J34=K34,"교차 확인 필요","완료")),IF(I34="해당 없음",IF(M34="","제외 사유 필요","범위 제외"),"진행 필요"))</x:f>
        <x:v>진행 필요</x:v>
      </x:c>
    </x:row>
    <x:row r="35" ht="46" customHeight="1">
      <x:c r="A35" s="9" t="str">
        <x:v>D-030</x:v>
      </x:c>
      <x:c r="B35" s="9" t="str">
        <x:v>필수 MVP</x:v>
      </x:c>
      <x:c r="C35" s="9" t="str">
        <x:v>문서 검토</x:v>
      </x:c>
      <x:c r="D35" s="9" t="str">
        <x:v>입력 검증</x:v>
      </x:c>
      <x:c r="E35" s="9" t="str">
        <x:v>중요</x:v>
      </x:c>
      <x:c r="F35" s="9" t="str">
        <x:v>[SITE-02·EXT-01] 분류와 방해 정책의 필수 입력 오류가 구분되는가</x:v>
      </x:c>
      <x:c r="G35" s="9" t="str">
        <x:v>분류 미선택, 방해+정책 미선택, 집중/일반 사례의 저장을 시뮬레이션한다.</x:v>
      </x:c>
      <x:c r="H35" s="9" t="str">
        <x:v>미선택 항목에 구체 오류가 나타나고 집중/일반에 방해 정책 입력을 강제하지 않는다.</x:v>
      </x:c>
      <x:c r="I35" s="11" t="str">
        <x:v>미점검</x:v>
      </x:c>
      <x:c r="J35" s="11" t="str"/>
      <x:c r="K35" s="11" t="str"/>
      <x:c r="L35" s="12" t="str"/>
      <x:c r="M35" s="11" t="str"/>
      <x:c r="N35" s="9" t="str">
        <x:v>FOCURVE 화면 명세 v1.0.xlsx 시트1!D10:E12,D16:E16</x:v>
      </x:c>
      <x:c r="O35" s="9" t="str">
        <x:f>IF(I35="통과",IF(OR(J35="",K35="",L35="",M35=""),"증거·확인자 보완",IF(J35=K35,"교차 확인 필요","완료")),IF(I35="해당 없음",IF(M35="","제외 사유 필요","범위 제외"),"진행 필요"))</x:f>
        <x:v>진행 필요</x:v>
      </x:c>
    </x:row>
    <x:row r="36" ht="46" customHeight="1">
      <x:c r="A36" s="3" t="str">
        <x:v>D-031</x:v>
      </x:c>
      <x:c r="B36" s="3" t="str">
        <x:v>필수 MVP</x:v>
      </x:c>
      <x:c r="C36" s="3" t="str">
        <x:v>문서 검토</x:v>
      </x:c>
      <x:c r="D36" s="3" t="str">
        <x:v>정책 표현</x:v>
      </x:c>
      <x:c r="E36" s="3" t="str">
        <x:v>선결</x:v>
      </x:c>
      <x:c r="F36" s="3" t="str">
        <x:v>[SITE-02·EXT-01] 전체 차단과 Shorts 제한의 우선순위를 표현했는가</x:v>
      </x:c>
      <x:c r="G36" s="3" t="str">
        <x:v>Shorts ON→전체 차단→기록으로 전환하는 설계를 검토한다.</x:v>
      </x:c>
      <x:c r="H36" s="3" t="str">
        <x:v>전체 차단 중 토글 비활성·우선순위 안내와 복원값 정책이 명확하며 이중 집계가 없다.</x:v>
      </x:c>
      <x:c r="I36" s="11" t="str">
        <x:v>미점검</x:v>
      </x:c>
      <x:c r="J36" s="11" t="str"/>
      <x:c r="K36" s="11" t="str"/>
      <x:c r="L36" s="12" t="str"/>
      <x:c r="M36" s="11" t="str"/>
      <x:c r="N36" s="3" t="str">
        <x:v>FOCURVE 화면 명세 v1.0.xlsx 시트1!D13:E14; FOCURVE_LowFi_설계.md 181행</x:v>
      </x:c>
      <x:c r="O36" s="3" t="str">
        <x:f>IF(I36="통과",IF(OR(J36="",K36="",L36="",M36=""),"증거·확인자 보완",IF(J36=K36,"교차 확인 필요","완료")),IF(I36="해당 없음",IF(M36="","제외 사유 필요","범위 제외"),"진행 필요"))</x:f>
        <x:v>진행 필요</x:v>
      </x:c>
    </x:row>
    <x:row r="37" ht="46" customHeight="1">
      <x:c r="A37" s="9" t="str">
        <x:v>D-032</x:v>
      </x:c>
      <x:c r="B37" s="9" t="str">
        <x:v>필수 MVP</x:v>
      </x:c>
      <x:c r="C37" s="9" t="str">
        <x:v>문서 검토</x:v>
      </x:c>
      <x:c r="D37" s="9" t="str">
        <x:v>인증</x:v>
      </x:c>
      <x:c r="E37" s="9" t="str">
        <x:v>중요</x:v>
      </x:c>
      <x:c r="F37" s="9" t="str">
        <x:v>[LOGIN-01·SIGNUP-01] 인증 제공자와 입력 규칙의 미확정 사항을 결정했는가</x:v>
      </x:c>
      <x:c r="G37" s="9" t="str">
        <x:v>지원 소셜 제공자·비밀번호/이메일 규칙·가입 후 이동을 검토한다.</x:v>
      </x:c>
      <x:c r="H37" s="9" t="str">
        <x:v>최종 입력 사례와 버튼 종류가 명세와 High-Fi에서 일치한다.</x:v>
      </x:c>
      <x:c r="I37" s="11" t="str">
        <x:v>미점검</x:v>
      </x:c>
      <x:c r="J37" s="11" t="str"/>
      <x:c r="K37" s="11" t="str"/>
      <x:c r="L37" s="12" t="str"/>
      <x:c r="M37" s="11" t="str"/>
      <x:c r="N37" s="9" t="str">
        <x:v>FOCURVE 화면 설계 v1.0.xlsx 시트1!E2:E3; FOCURVE_LowFi_설계.md 127,136행</x:v>
      </x:c>
      <x:c r="O37" s="9" t="str">
        <x:f>IF(I37="통과",IF(OR(J37="",K37="",L37="",M37=""),"증거·확인자 보완",IF(J37=K37,"교차 확인 필요","완료")),IF(I37="해당 없음",IF(M37="","제외 사유 필요","범위 제외"),"진행 필요"))</x:f>
        <x:v>진행 필요</x:v>
      </x:c>
    </x:row>
    <x:row r="38" ht="61" customHeight="1">
      <x:c r="A38" s="3" t="str">
        <x:v>D-033</x:v>
      </x:c>
      <x:c r="B38" s="3" t="str">
        <x:v>필수 MVP</x:v>
      </x:c>
      <x:c r="C38" s="3" t="str">
        <x:v>문서 검토</x:v>
      </x:c>
      <x:c r="D38" s="3" t="str">
        <x:v>시작 조건</x:v>
      </x:c>
      <x:c r="E38" s="3" t="str">
        <x:v>선결</x:v>
      </x:c>
      <x:c r="F38" s="3" t="str">
        <x:v>[SESSION-01·EXT-01] 집중 시간 경계값을 공통 기준으로 검증하는가</x:v>
      </x:c>
      <x:c r="G38" s="3" t="str">
        <x:v>빈값·문자·0·음수·소수·기본값·최대값·최대값+1의 기대 결과를 작성한다.</x:v>
      </x:c>
      <x:c r="H38" s="3" t="str">
        <x:v>팀이 확정한 동일 기준과 오류 메시지를 두 화면 및 서버가 사용한다.</x:v>
      </x:c>
      <x:c r="I38" s="11" t="str">
        <x:v>미점검</x:v>
      </x:c>
      <x:c r="J38" s="11" t="str"/>
      <x:c r="K38" s="11" t="str"/>
      <x:c r="L38" s="12" t="str"/>
      <x:c r="M38" s="11" t="str"/>
      <x:c r="N38" s="3" t="str">
        <x:v>SESSION-01 — 웹 집중 세션 화면 명세.xlsx 시트1!D10:E10,D42:F42; EXT-01 확장 프로그램 팝업 명세.xlsx 시트1!D26:E26,D54:F54</x:v>
      </x:c>
      <x:c r="O38" s="3" t="str">
        <x:f>IF(I38="통과",IF(OR(J38="",K38="",L38="",M38=""),"증거·확인자 보완",IF(J38=K38,"교차 확인 필요","완료")),IF(I38="해당 없음",IF(M38="","제외 사유 필요","범위 제외"),"진행 필요"))</x:f>
        <x:v>진행 필요</x:v>
      </x:c>
    </x:row>
    <x:row r="39" ht="46" customHeight="1">
      <x:c r="A39" s="9" t="str">
        <x:v>D-034</x:v>
      </x:c>
      <x:c r="B39" s="9" t="str">
        <x:v>필수 MVP</x:v>
      </x:c>
      <x:c r="C39" s="9" t="str">
        <x:v>문서 검토</x:v>
      </x:c>
      <x:c r="D39" s="9" t="str">
        <x:v>시작 조건</x:v>
      </x:c>
      <x:c r="E39" s="9" t="str">
        <x:v>선결</x:v>
      </x:c>
      <x:c r="F39" s="9" t="str">
        <x:v>[SESSION-01·EXT-01] 정책 0개인 시작 허용 여부를 결정했는가</x:v>
      </x:c>
      <x:c r="G39" s="9" t="str">
        <x:v>등록 사이트 0개와 유효 관리 정책 0개를 별도로 확인한다.</x:v>
      </x:c>
      <x:c r="H39" s="9" t="str">
        <x:v>허용/차단 기준과 시간만 진행 안내 또는 설정 이동 동작이 일치한다.</x:v>
      </x:c>
      <x:c r="I39" s="11" t="str">
        <x:v>미점검</x:v>
      </x:c>
      <x:c r="J39" s="11" t="str"/>
      <x:c r="K39" s="11" t="str"/>
      <x:c r="L39" s="12" t="str"/>
      <x:c r="M39" s="11" t="str"/>
      <x:c r="N39" s="9" t="str">
        <x:v>SESSION-01 — 웹 집중 세션 화면 명세.xlsx 시트1!D43:F43; EXT-01 확장 프로그램 팝업 명세.xlsx 시트1!D55:F55</x:v>
      </x:c>
      <x:c r="O39" s="9" t="str">
        <x:f>IF(I39="통과",IF(OR(J39="",K39="",L39="",M39=""),"증거·확인자 보완",IF(J39=K39,"교차 확인 필요","완료")),IF(I39="해당 없음",IF(M39="","제외 사유 필요","범위 제외"),"진행 필요"))</x:f>
        <x:v>진행 필요</x:v>
      </x:c>
    </x:row>
    <x:row r="40" ht="61" customHeight="1">
      <x:c r="A40" s="3" t="str">
        <x:v>D-035</x:v>
      </x:c>
      <x:c r="B40" s="3" t="str">
        <x:v>필수 MVP</x:v>
      </x:c>
      <x:c r="C40" s="3" t="str">
        <x:v>문서 검토</x:v>
      </x:c>
      <x:c r="D40" s="3" t="str">
        <x:v>진행 상태</x:v>
      </x:c>
      <x:c r="E40" s="3" t="str">
        <x:v>선결</x:v>
      </x:c>
      <x:c r="F40" s="3" t="str">
        <x:v>[SESSION-01·EXT-01] 권한 상실 후 상태·복구·종료 기준을 확정했는가</x:v>
      </x:c>
      <x:c r="G40" s="3" t="str">
        <x:v>진행 중 권한 제거 또는 적용 오류 상황을 상태 전이표로 검토한다.</x:v>
      </x:c>
      <x:c r="H40" s="3" t="str">
        <x:v>정상 적용으로 표시하지 않고 타이머/기록/복구/종료 기준과 사용자 조치가 정해진다.</x:v>
      </x:c>
      <x:c r="I40" s="11" t="str">
        <x:v>미점검</x:v>
      </x:c>
      <x:c r="J40" s="11" t="str"/>
      <x:c r="K40" s="11" t="str"/>
      <x:c r="L40" s="12" t="str"/>
      <x:c r="M40" s="11" t="str"/>
      <x:c r="N40" s="3" t="str">
        <x:v>SESSION-01 — 웹 집중 세션 화면 명세.xlsx 시트1!D44:F44; EXT-01 확장 프로그램 팝업 명세.xlsx 시트1!D34:E34,D57:F57</x:v>
      </x:c>
      <x:c r="O40" s="3" t="str">
        <x:f>IF(I40="통과",IF(OR(J40="",K40="",L40="",M40=""),"증거·확인자 보완",IF(J40=K40,"교차 확인 필요","완료")),IF(I40="해당 없음",IF(M40="","제외 사유 필요","범위 제외"),"진행 필요"))</x:f>
        <x:v>진행 필요</x:v>
      </x:c>
    </x:row>
    <x:row r="41" ht="46" customHeight="1">
      <x:c r="A41" s="9" t="str">
        <x:v>D-036</x:v>
      </x:c>
      <x:c r="B41" s="9" t="str">
        <x:v>필수 MVP</x:v>
      </x:c>
      <x:c r="C41" s="9" t="str">
        <x:v>문서 검토</x:v>
      </x:c>
      <x:c r="D41" s="9" t="str">
        <x:v>자료 가져오기</x:v>
      </x:c>
      <x:c r="E41" s="9" t="str">
        <x:v>선결</x:v>
      </x:c>
      <x:c r="F41" s="9" t="str">
        <x:v>[EXT-01] 가져오기 범위와 충돌 규칙을 확정했는가</x:v>
      </x:c>
      <x:c r="G41" s="9" t="str">
        <x:v>새 사이트·동일 사이트·하위도메인 겹침·중복 이벤트를 섞은 표본을 검토한다.</x:v>
      </x:c>
      <x:c r="H41" s="9" t="str">
        <x:v>팀이 승인한 충돌 정책을 안내하며 기록 식별값과 원래 시각을 유지한다.</x:v>
      </x:c>
      <x:c r="I41" s="11" t="str">
        <x:v>미점검</x:v>
      </x:c>
      <x:c r="J41" s="11" t="str"/>
      <x:c r="K41" s="11" t="str"/>
      <x:c r="L41" s="12" t="str"/>
      <x:c r="M41" s="11" t="str"/>
      <x:c r="N41" s="9" t="str">
        <x:v>EXT-01 확장 프로그램 팝업 명세.xlsx 시트1!D48:F48,D56:F56</x:v>
      </x:c>
      <x:c r="O41" s="9" t="str">
        <x:f>IF(I41="통과",IF(OR(J41="",K41="",L41="",M41=""),"증거·확인자 보완",IF(J41=K41,"교차 확인 필요","완료")),IF(I41="해당 없음",IF(M41="","제외 사유 필요","범위 제외"),"진행 필요"))</x:f>
        <x:v>진행 필요</x:v>
      </x:c>
    </x:row>
    <x:row r="42" ht="46" customHeight="1">
      <x:c r="A42" s="3" t="str">
        <x:v>D-037</x:v>
      </x:c>
      <x:c r="B42" s="3" t="str">
        <x:v>필수 MVP</x:v>
      </x:c>
      <x:c r="C42" s="3" t="str">
        <x:v>문서 검토</x:v>
      </x:c>
      <x:c r="D42" s="3" t="str">
        <x:v>계정 분리</x:v>
      </x:c>
      <x:c r="E42" s="3" t="str">
        <x:v>선결</x:v>
      </x:c>
      <x:c r="F42" s="3" t="str">
        <x:v>[SETTING-01·EXT-01] 로그아웃 미전송 자료 보존 정책을 확정했는가</x:v>
      </x:c>
      <x:c r="G42" s="3" t="str">
        <x:v>계정 A 전송 대기 상태에서 로그아웃 후 A 재로그인/B 로그인 경로를 검토한다.</x:v>
      </x:c>
      <x:c r="H42" s="3" t="str">
        <x:v>사용자에게 영향과 취소를 안내하고 다른 계정에 노출/자동 업로드하지 않으며 보존 규칙이 정해진다.</x:v>
      </x:c>
      <x:c r="I42" s="11" t="str">
        <x:v>미점검</x:v>
      </x:c>
      <x:c r="J42" s="11" t="str"/>
      <x:c r="K42" s="11" t="str"/>
      <x:c r="L42" s="12" t="str"/>
      <x:c r="M42" s="11" t="str"/>
      <x:c r="N42" s="3" t="str">
        <x:v>EXT-01 확장 프로그램 팝업 명세.xlsx 시트1!D51:E52,D57:F57</x:v>
      </x:c>
      <x:c r="O42" s="3" t="str">
        <x:f>IF(I42="통과",IF(OR(J42="",K42="",L42="",M42=""),"증거·확인자 보완",IF(J42=K42,"교차 확인 필요","완료")),IF(I42="해당 없음",IF(M42="","제외 사유 필요","범위 제외"),"진행 필요"))</x:f>
        <x:v>진행 필요</x:v>
      </x:c>
    </x:row>
    <x:row r="43" ht="46" customHeight="1">
      <x:c r="A43" s="9" t="str">
        <x:v>D-038</x:v>
      </x:c>
      <x:c r="B43" s="9" t="str">
        <x:v>필수 MVP</x:v>
      </x:c>
      <x:c r="C43" s="9" t="str">
        <x:v>문서 검토</x:v>
      </x:c>
      <x:c r="D43" s="9" t="str">
        <x:v>목록 탐색</x:v>
      </x:c>
      <x:c r="E43" s="9" t="str">
        <x:v>중요</x:v>
      </x:c>
      <x:c r="F43" s="9" t="str">
        <x:v>[SITE-01·LOG-01·STAT-01] 필터·정렬·기간·추가 조회의 계약을 확정했는가</x:v>
      </x:c>
      <x:c r="G43" s="9" t="str">
        <x:v>기본값과 각 필터 조합, 상세 복귀, 이전 기록 더 보기를 표로 검토한다.</x:v>
      </x:c>
      <x:c r="H43" s="9" t="str">
        <x:v>조회 조건·정렬·페이지 단위·조건 유지가 명시되고 목록/요약이 같은 범위를 보여준다.</x:v>
      </x:c>
      <x:c r="I43" s="11" t="str">
        <x:v>미점검</x:v>
      </x:c>
      <x:c r="J43" s="11" t="str"/>
      <x:c r="K43" s="11" t="str"/>
      <x:c r="L43" s="12" t="str"/>
      <x:c r="M43" s="11" t="str"/>
      <x:c r="N43" s="9" t="str">
        <x:v>FOCURVE_LowFi_설계.md 163,225,242~244행; FOCURVE_Task_Flow_v1.0 (1).md 530행</x:v>
      </x:c>
      <x:c r="O43" s="9" t="str">
        <x:f>IF(I43="통과",IF(OR(J43="",K43="",L43="",M43=""),"증거·확인자 보완",IF(J43=K43,"교차 확인 필요","완료")),IF(I43="해당 없음",IF(M43="","제외 사유 필요","범위 제외"),"진행 필요"))</x:f>
        <x:v>진행 필요</x:v>
      </x:c>
    </x:row>
    <x:row r="44" ht="46" customHeight="1">
      <x:c r="A44" s="3" t="str">
        <x:v>D-039</x:v>
      </x:c>
      <x:c r="B44" s="3" t="str">
        <x:v>공통</x:v>
      </x:c>
      <x:c r="C44" s="3" t="str">
        <x:v>문서 검토</x:v>
      </x:c>
      <x:c r="D44" s="3" t="str">
        <x:v>프로토타입</x:v>
      </x:c>
      <x:c r="E44" s="3" t="str">
        <x:v>선결</x:v>
      </x:c>
      <x:c r="F44" s="3" t="str">
        <x:v>상태 예시를 실제 작동 검증으로 기록하지 않는가</x:v>
      </x:c>
      <x:c r="G44" s="3" t="str">
        <x:v>상태 보기 버튼, 검색·타이머·필터 데모를 실제 제품 버튼과 구별해 표시한다.</x:v>
      </x:c>
      <x:c r="H44" s="3" t="str">
        <x:v>화면/동선 검토 결과와 구현 테스트 결과를 별도 기록하며 미구현 동작을 통과로 처리하지 않는다.</x:v>
      </x:c>
      <x:c r="I44" s="11" t="str">
        <x:v>미점검</x:v>
      </x:c>
      <x:c r="J44" s="11" t="str"/>
      <x:c r="K44" s="11" t="str"/>
      <x:c r="L44" s="12" t="str"/>
      <x:c r="M44" s="11" t="str"/>
      <x:c r="N44" s="3" t="str">
        <x:v>FOCURVE_LowFi_설계.md 72,298,309행</x:v>
      </x:c>
      <x:c r="O44" s="3" t="str">
        <x:f>IF(I44="통과",IF(OR(J44="",K44="",L44="",M44=""),"증거·확인자 보완",IF(J44=K44,"교차 확인 필요","완료")),IF(I44="해당 없음",IF(M44="","제외 사유 필요","범위 제외"),"진행 필요"))</x:f>
        <x:v>진행 필요</x:v>
      </x:c>
    </x:row>
    <x:row r="45" ht="46" customHeight="1">
      <x:c r="A45" s="9" t="str">
        <x:v>D-040</x:v>
      </x:c>
      <x:c r="B45" s="9" t="str">
        <x:v>공통</x:v>
      </x:c>
      <x:c r="C45" s="9" t="str">
        <x:v>문서 검토</x:v>
      </x:c>
      <x:c r="D45" s="9" t="str">
        <x:v>개발 전달</x:v>
      </x:c>
      <x:c r="E45" s="9" t="str">
        <x:v>중요</x:v>
      </x:c>
      <x:c r="F45" s="9" t="str">
        <x:v>디자인 원본·에셋·컴포넌트·구현 규칙이 연결되어 있다.</x:v>
      </x:c>
      <x:c r="G45" s="9" t="str">
        <x:v>팀원이 한 화면을 구현한다고 가정하고 필요한 자료를 링크만으로 찾는다.</x:v>
      </x:c>
      <x:c r="H45" s="9" t="str">
        <x:v>현재 프레임·토큰·상태·에셋·기능 ID·API 계약·담당을 찾을 수 있다. 추가 조율이 필요한 항목을 표시한다.</x:v>
      </x:c>
      <x:c r="I45" s="11" t="str">
        <x:v>미점검</x:v>
      </x:c>
      <x:c r="J45" s="11" t="str"/>
      <x:c r="K45" s="11" t="str"/>
      <x:c r="L45" s="12" t="str"/>
      <x:c r="M45" s="11" t="str"/>
      <x:c r="N45" s="9" t="str">
        <x:v>UI 일관성·수치 정합성·개발 수용 기준</x:v>
      </x:c>
      <x:c r="O45" s="9" t="str">
        <x:f>IF(I45="통과",IF(OR(J45="",K45="",L45="",M45=""),"증거·확인자 보완",IF(J45=K45,"교차 확인 필요","완료")),IF(I45="해당 없음",IF(M45="","제외 사유 필요","범위 제외"),"진행 필요"))</x:f>
        <x:v>진행 필요</x:v>
      </x:c>
    </x:row>
    <x:row r="46" ht="46" customHeight="1">
      <x:c r="A46" s="3" t="str">
        <x:v>D-041</x:v>
      </x:c>
      <x:c r="B46" s="3" t="str">
        <x:v>공통</x:v>
      </x:c>
      <x:c r="C46" s="3" t="str">
        <x:v>문서 검토</x:v>
      </x:c>
      <x:c r="D46" s="3" t="str">
        <x:v>개발 전달</x:v>
      </x:c>
      <x:c r="E46" s="3" t="str">
        <x:v>중요</x:v>
      </x:c>
      <x:c r="F46" s="3" t="str">
        <x:v>작업 완료와 검토 완료의 정의를 구별한다.</x:v>
      </x:c>
      <x:c r="G46" s="3" t="str">
        <x:v>담당자가 완료한 화면을 다른 팀원이 통과 기준과 근거로 재검토한다.</x:v>
      </x:c>
      <x:c r="H46" s="3" t="str">
        <x:v>작성자와 확인자·버전·날짜·증거가 기록된다. 단순 제작 완료를 테스트 통과로 표시하지 않는다.</x:v>
      </x:c>
      <x:c r="I46" s="11" t="str">
        <x:v>미점검</x:v>
      </x:c>
      <x:c r="J46" s="11" t="str"/>
      <x:c r="K46" s="11" t="str"/>
      <x:c r="L46" s="12" t="str"/>
      <x:c r="M46" s="11" t="str"/>
      <x:c r="N46" s="3" t="str">
        <x:v>UI 일관성·수치 정합성·개발 수용 기준</x:v>
      </x:c>
      <x:c r="O46" s="3" t="str">
        <x:f>IF(I46="통과",IF(OR(J46="",K46="",L46="",M46=""),"증거·확인자 보완",IF(J46=K46,"교차 확인 필요","완료")),IF(I46="해당 없음",IF(M46="","제외 사유 필요","범위 제외"),"진행 필요"))</x:f>
        <x:v>진행 필요</x:v>
      </x:c>
    </x:row>
    <x:row r="47" ht="46" customHeight="1">
      <x:c r="A47" s="9" t="str">
        <x:v>D-042</x:v>
      </x:c>
      <x:c r="B47" s="9" t="str">
        <x:v>공통</x:v>
      </x:c>
      <x:c r="C47" s="9" t="str">
        <x:v>문서 검토</x:v>
      </x:c>
      <x:c r="D47" s="9" t="str">
        <x:v>프로토타입</x:v>
      </x:c>
      <x:c r="E47" s="9" t="str">
        <x:v>중요</x:v>
      </x:c>
      <x:c r="F47" s="9" t="str">
        <x:v>주요 버튼과 화면 이동의 목적지가 명확하다.</x:v>
      </x:c>
      <x:c r="G47" s="9" t="str">
        <x:v>팀원이 정상·취소·실패 흐름을 클릭하며 막힌 지점과 미연결 요소를 기록한다.</x:v>
      </x:c>
      <x:c r="H47" s="9" t="str">
        <x:v>대표 흐름이 이어지고 미연결 예시 컨트롤은 구현 규칙과 연결한다. 실제 작동 검증과 혼동하지 않는다.</x:v>
      </x:c>
      <x:c r="I47" s="11" t="str">
        <x:v>미점검</x:v>
      </x:c>
      <x:c r="J47" s="11" t="str"/>
      <x:c r="K47" s="11" t="str"/>
      <x:c r="L47" s="12" t="str"/>
      <x:c r="M47" s="11" t="str"/>
      <x:c r="N47" s="9" t="str">
        <x:v>UI 일관성·수치 정합성·개발 수용 기준</x:v>
      </x:c>
      <x:c r="O47" s="9" t="str">
        <x:f>IF(I47="통과",IF(OR(J47="",K47="",L47="",M47=""),"증거·확인자 보완",IF(J47=K47,"교차 확인 필요","완료")),IF(I47="해당 없음",IF(M47="","제외 사유 필요","범위 제외"),"진행 필요"))</x:f>
        <x:v>진행 필요</x:v>
      </x:c>
    </x:row>
    <x:row r="48" ht="46" customHeight="1">
      <x:c r="A48" s="3" t="str">
        <x:v>D-043</x:v>
      </x:c>
      <x:c r="B48" s="3" t="str">
        <x:v>공통</x:v>
      </x:c>
      <x:c r="C48" s="3" t="str">
        <x:v>문서 검토</x:v>
      </x:c>
      <x:c r="D48" s="3" t="str">
        <x:v>변경 관리</x:v>
      </x:c>
      <x:c r="E48" s="3" t="str">
        <x:v>중요</x:v>
      </x:c>
      <x:c r="F48" s="3" t="str">
        <x:v>UI 수정이 기능·흐름·데이터 문서에 전파된다.</x:v>
      </x:c>
      <x:c r="G48" s="3" t="str">
        <x:v>한 정책 변경을 가정하고 영향 받는 기능 목록·화면·이벤트·테스트를 찾아본다.</x:v>
      </x:c>
      <x:c r="H48" s="3" t="str">
        <x:v>변경 사유·결정일·적용 버전·담당과 수정할 문서/화면이 하나의 결정 기록으로 추적된다.</x:v>
      </x:c>
      <x:c r="I48" s="11" t="str">
        <x:v>미점검</x:v>
      </x:c>
      <x:c r="J48" s="11" t="str"/>
      <x:c r="K48" s="11" t="str"/>
      <x:c r="L48" s="12" t="str"/>
      <x:c r="M48" s="11" t="str"/>
      <x:c r="N48" s="3" t="str">
        <x:v>UI 일관성·수치 정합성·개발 수용 기준</x:v>
      </x:c>
      <x:c r="O48" s="3" t="str">
        <x:f>IF(I48="통과",IF(OR(J48="",K48="",L48="",M48=""),"증거·확인자 보완",IF(J48=K48,"교차 확인 필요","완료")),IF(I48="해당 없음",IF(M48="","제외 사유 필요","범위 제외"),"진행 필요"))</x:f>
        <x:v>진행 필요</x:v>
      </x:c>
    </x:row>
    <x:row r="49" ht="46" customHeight="1">
      <x:c r="A49" s="9" t="str">
        <x:v>U-001</x:v>
      </x:c>
      <x:c r="B49" s="9" t="str">
        <x:v>학기 필수 추가</x:v>
      </x:c>
      <x:c r="C49" s="9" t="str">
        <x:v>화면 검토</x:v>
      </x:c>
      <x:c r="D49" s="9" t="str">
        <x:v>범위·완료 기준</x:v>
      </x:c>
      <x:c r="E49" s="9" t="str">
        <x:v>중요</x:v>
      </x:c>
      <x:c r="F49" s="9" t="str">
        <x:v>내부 기능/서비스 확대 항목별 결정</x:v>
      </x:c>
      <x:c r="G49" s="9" t="str">
        <x:v>추천/댓글/자동재생/Reels/추천피드의 지원 서비스와 경로를 표로 작성</x:v>
      </x:c>
      <x:c r="H49" s="9" t="str">
        <x:v>선택 항목마다 채택·보류·대상/예외/실패/검증방법 정의; 미지원 토글이 작동하는 것처럼 노출되지 않음</x:v>
      </x:c>
      <x:c r="I49" s="11" t="str">
        <x:v>미점검</x:v>
      </x:c>
      <x:c r="J49" s="11" t="str"/>
      <x:c r="K49" s="11" t="str"/>
      <x:c r="L49" s="12" t="str"/>
      <x:c r="M49" s="11" t="str"/>
      <x:c r="N49" s="9" t="str">
        <x:v>FOCURVE_프로젝트_기획안_v1.0_20260918(2).pdf p.44, §2.1–2.2</x:v>
      </x:c>
      <x:c r="O49" s="9" t="str">
        <x:f>IF(I49="통과",IF(OR(J49="",K49="",L49="",M49=""),"증거·확인자 보완",IF(J49=K49,"교차 확인 필요","완료")),IF(I49="해당 없음",IF(M49="","제외 사유 필요","범위 제외"),"진행 필요"))</x:f>
        <x:v>진행 필요</x:v>
      </x:c>
    </x:row>
    <x:row r="50" ht="46" customHeight="1">
      <x:c r="A50" s="3" t="str">
        <x:v>U-002</x:v>
      </x:c>
      <x:c r="B50" s="3" t="str">
        <x:v>학기 필수 추가</x:v>
      </x:c>
      <x:c r="C50" s="3" t="str">
        <x:v>화면 검토</x:v>
      </x:c>
      <x:c r="D50" s="3" t="str">
        <x:v>범위·완료 기준</x:v>
      </x:c>
      <x:c r="E50" s="3" t="str">
        <x:v>중요</x:v>
      </x:c>
      <x:c r="F50" s="3" t="str">
        <x:v>행동 지표와 차트 의미</x:v>
      </x:c>
      <x:c r="G50" s="3" t="str">
        <x:v>지표 공식·대상·기간·제외조건·수집 부족 상태 검토</x:v>
      </x:c>
      <x:c r="H50" s="3" t="str">
        <x:v>참고 지표로 표시, 진단/집중력 점수처럼 단정하지 않음; 차트 수치가 같은 이벤트 집계와 일치</x:v>
      </x:c>
      <x:c r="I50" s="11" t="str">
        <x:v>미점검</x:v>
      </x:c>
      <x:c r="J50" s="11" t="str"/>
      <x:c r="K50" s="11" t="str"/>
      <x:c r="L50" s="12" t="str"/>
      <x:c r="M50" s="11" t="str"/>
      <x:c r="N50" s="3" t="str">
        <x:v>FOCURVE_프로젝트_기획안_v1.0_20260918(2).pdf p.45, §2.5–2.6</x:v>
      </x:c>
      <x:c r="O50" s="3" t="str">
        <x:f>IF(I50="통과",IF(OR(J50="",K50="",L50="",M50=""),"증거·확인자 보완",IF(J50=K50,"교차 확인 필요","완료")),IF(I50="해당 없음",IF(M50="","제외 사유 필요","범위 제외"),"진행 필요"))</x:f>
        <x:v>진행 필요</x:v>
      </x:c>
    </x:row>
    <x:row r="51" ht="46" customHeight="1">
      <x:c r="A51" s="9" t="str">
        <x:v>U-003</x:v>
      </x:c>
      <x:c r="B51" s="9" t="str">
        <x:v>필수 MVP</x:v>
      </x:c>
      <x:c r="C51" s="9" t="str">
        <x:v>화면 검토</x:v>
      </x:c>
      <x:c r="D51" s="9" t="str">
        <x:v>입력 검증</x:v>
      </x:c>
      <x:c r="E51" s="9" t="str">
        <x:v>선결</x:v>
      </x:c>
      <x:c r="F51" s="9" t="str">
        <x:v>[SITE-02·EXT-01] 저장 범위를 사용자가 확인할 수 있는가</x:v>
      </x:c>
      <x:c r="G51" s="9" t="str">
        <x:v>경로·쿼리·포트가 있는 유효 URL 입력 예시를 보여주고 저장될 호스트와 범위를 확인한다.</x:v>
      </x:c>
      <x:c r="H51" s="9" t="str">
        <x:v>정규화 후 실제 적용할 호스트·하위 도메인 포함 여부가 저장 전 안내된다.</x:v>
      </x:c>
      <x:c r="I51" s="11" t="str">
        <x:v>미점검</x:v>
      </x:c>
      <x:c r="J51" s="11" t="str"/>
      <x:c r="K51" s="11" t="str"/>
      <x:c r="L51" s="12" t="str"/>
      <x:c r="M51" s="11" t="str"/>
      <x:c r="N51" s="9" t="str">
        <x:v>FOCURVE 화면 명세 v1.0.xlsx 시트1!D7:E9</x:v>
      </x:c>
      <x:c r="O51" s="9" t="str">
        <x:f>IF(I51="통과",IF(OR(J51="",K51="",L51="",M51=""),"증거·확인자 보완",IF(J51=K51,"교차 확인 필요","완료")),IF(I51="해당 없음",IF(M51="","제외 사유 필요","범위 제외"),"진행 필요"))</x:f>
        <x:v>진행 필요</x:v>
      </x:c>
    </x:row>
    <x:row r="52" ht="46" customHeight="1">
      <x:c r="A52" s="3" t="str">
        <x:v>U-004</x:v>
      </x:c>
      <x:c r="B52" s="3" t="str">
        <x:v>필수 MVP</x:v>
      </x:c>
      <x:c r="C52" s="3" t="str">
        <x:v>화면 검토</x:v>
      </x:c>
      <x:c r="D52" s="3" t="str">
        <x:v>입력 검증</x:v>
      </x:c>
      <x:c r="E52" s="3" t="str">
        <x:v>선결</x:v>
      </x:c>
      <x:c r="F52" s="3" t="str">
        <x:v>[SITE-02·EXT-01] 동일·중첩 사이트 저장을 막는가</x:v>
      </x:c>
      <x:c r="G52" s="3" t="str">
        <x:v>example.com 포함 ON 후 a.example.com 추가, 동일 주소 추가, 자기 자신 수정 사례를 대조한다.</x:v>
      </x:c>
      <x:c r="H52" s="3" t="str">
        <x:v>겹치는 다른 설정은 거절하며 자기 자신 수정은 중복으로 오인하지 않는다.</x:v>
      </x:c>
      <x:c r="I52" s="11" t="str">
        <x:v>미점검</x:v>
      </x:c>
      <x:c r="J52" s="11" t="str"/>
      <x:c r="K52" s="11" t="str"/>
      <x:c r="L52" s="12" t="str"/>
      <x:c r="M52" s="11" t="str"/>
      <x:c r="N52" s="3" t="str">
        <x:v>FOCURVE 화면 명세 v1.0.xlsx 시트1!D15:E15</x:v>
      </x:c>
      <x:c r="O52" s="3" t="str">
        <x:f>IF(I52="통과",IF(OR(J52="",K52="",L52="",M52=""),"증거·확인자 보완",IF(J52=K52,"교차 확인 필요","완료")),IF(I52="해당 없음",IF(M52="","제외 사유 필요","범위 제외"),"진행 필요"))</x:f>
        <x:v>진행 필요</x:v>
      </x:c>
    </x:row>
    <x:row r="53" ht="46" customHeight="1">
      <x:c r="A53" s="9" t="str">
        <x:v>U-005</x:v>
      </x:c>
      <x:c r="B53" s="9" t="str">
        <x:v>필수 MVP</x:v>
      </x:c>
      <x:c r="C53" s="9" t="str">
        <x:v>화면 검토</x:v>
      </x:c>
      <x:c r="D53" s="9" t="str">
        <x:v>정책 표현</x:v>
      </x:c>
      <x:c r="E53" s="9" t="str">
        <x:v>중요</x:v>
      </x:c>
      <x:c r="F53" s="9" t="str">
        <x:v>[SITE-02·EXT-01] 지원되지 않는 사이트의 내부 기능 제어가 숨김/비활성 처리되는가</x:v>
      </x:c>
      <x:c r="G53" s="9" t="str">
        <x:v>YouTube와 지원하지 않는 일반 사이트의 등록·수정 화면을 비교한다.</x:v>
      </x:c>
      <x:c r="H53" s="9" t="str">
        <x:v>지원 기능만 표시 또는 활성화하며 적용 가능한 것처럼 오해시키지 않는다.</x:v>
      </x:c>
      <x:c r="I53" s="11" t="str">
        <x:v>미점검</x:v>
      </x:c>
      <x:c r="J53" s="11" t="str"/>
      <x:c r="K53" s="11" t="str"/>
      <x:c r="L53" s="12" t="str"/>
      <x:c r="M53" s="11" t="str"/>
      <x:c r="N53" s="9" t="str">
        <x:v>FOCURVE 화면 명세 v1.0.xlsx 시트1!D13:E13; FOCURVE_LowFi_설계.md 217행</x:v>
      </x:c>
      <x:c r="O53" s="9" t="str">
        <x:f>IF(I53="통과",IF(OR(J53="",K53="",L53="",M53=""),"증거·확인자 보완",IF(J53=K53,"교차 확인 필요","완료")),IF(I53="해당 없음",IF(M53="","제외 사유 필요","범위 제외"),"진행 필요"))</x:f>
        <x:v>진행 필요</x:v>
      </x:c>
    </x:row>
    <x:row r="54" ht="46" customHeight="1">
      <x:c r="A54" s="3" t="str">
        <x:v>U-006</x:v>
      </x:c>
      <x:c r="B54" s="3" t="str">
        <x:v>필수 MVP</x:v>
      </x:c>
      <x:c r="C54" s="3" t="str">
        <x:v>화면 검토</x:v>
      </x:c>
      <x:c r="D54" s="3" t="str">
        <x:v>저장 상태</x:v>
      </x:c>
      <x:c r="E54" s="3" t="str">
        <x:v>선결</x:v>
      </x:c>
      <x:c r="F54" s="3" t="str">
        <x:v>[SITE-02·EXT-01] 결과 미확인 저장을 단순 실패/성공으로 처리하지 않는가</x:v>
      </x:c>
      <x:c r="G54" s="3" t="str">
        <x:v>저장 직후 응답 끊김 상태와 재확인 동작을 검토한다.</x:v>
      </x:c>
      <x:c r="H54" s="3" t="str">
        <x:v>입력값을 유지하고 결과 확인 후 재시도하며 중복 사이트를 생성하지 않는다.</x:v>
      </x:c>
      <x:c r="I54" s="11" t="str">
        <x:v>미점검</x:v>
      </x:c>
      <x:c r="J54" s="11" t="str"/>
      <x:c r="K54" s="11" t="str"/>
      <x:c r="L54" s="12" t="str"/>
      <x:c r="M54" s="11" t="str"/>
      <x:c r="N54" s="3" t="str">
        <x:v>FOCURVE 화면 명세 v1.0.xlsx 시트1!D21:E24; EXT-01 확장 프로그램 팝업 명세.xlsx 시트1!D22:E22</x:v>
      </x:c>
      <x:c r="O54" s="3" t="str">
        <x:f>IF(I54="통과",IF(OR(J54="",K54="",L54="",M54=""),"증거·확인자 보완",IF(J54=K54,"교차 확인 필요","완료")),IF(I54="해당 없음",IF(M54="","제외 사유 필요","범위 제외"),"진행 필요"))</x:f>
        <x:v>진행 필요</x:v>
      </x:c>
    </x:row>
    <x:row r="55" ht="46" customHeight="1">
      <x:c r="A55" s="9" t="str">
        <x:v>U-007</x:v>
      </x:c>
      <x:c r="B55" s="9" t="str">
        <x:v>필수 MVP</x:v>
      </x:c>
      <x:c r="C55" s="9" t="str">
        <x:v>화면 검토</x:v>
      </x:c>
      <x:c r="D55" s="9" t="str">
        <x:v>저장 상태</x:v>
      </x:c>
      <x:c r="E55" s="9" t="str">
        <x:v>중요</x:v>
      </x:c>
      <x:c r="F55" s="9" t="str">
        <x:v>[SITE-02] 수정 대상 없음과 신규 등록 화면을 구분했는가</x:v>
      </x:c>
      <x:c r="G55" s="9" t="str">
        <x:v>존재하지 않는 site ID로 진입하는 상태를 검토한다.</x:v>
      </x:c>
      <x:c r="H55" s="9" t="str">
        <x:v>수정 대상 없음 안내와 목록 복귀가 있고 신규 등록으로 자동 전환하지 않는다.</x:v>
      </x:c>
      <x:c r="I55" s="11" t="str">
        <x:v>미점검</x:v>
      </x:c>
      <x:c r="J55" s="11" t="str"/>
      <x:c r="K55" s="11" t="str"/>
      <x:c r="L55" s="12" t="str"/>
      <x:c r="M55" s="11" t="str"/>
      <x:c r="N55" s="9" t="str">
        <x:v>FOCURVE 화면 명세 v1.0.xlsx 시트1!D25:E25</x:v>
      </x:c>
      <x:c r="O55" s="9" t="str">
        <x:f>IF(I55="통과",IF(OR(J55="",K55="",L55="",M55=""),"증거·확인자 보완",IF(J55=K55,"교차 확인 필요","완료")),IF(I55="해당 없음",IF(M55="","제외 사유 필요","범위 제외"),"진행 필요"))</x:f>
        <x:v>진행 필요</x:v>
      </x:c>
    </x:row>
    <x:row r="56" ht="46" customHeight="1">
      <x:c r="A56" s="3" t="str">
        <x:v>U-008</x:v>
      </x:c>
      <x:c r="B56" s="3" t="str">
        <x:v>필수 MVP</x:v>
      </x:c>
      <x:c r="C56" s="3" t="str">
        <x:v>화면 검토</x:v>
      </x:c>
      <x:c r="D56" s="3" t="str">
        <x:v>저장 상태</x:v>
      </x:c>
      <x:c r="E56" s="3" t="str">
        <x:v>중요</x:v>
      </x:c>
      <x:c r="F56" s="3" t="str">
        <x:v>[SITE-02·EXT-01] 저장하지 않은 변경의 폐기 확인이 있는가</x:v>
      </x:c>
      <x:c r="G56" s="3" t="str">
        <x:v>내용 변경 후 취소와 내용 변경 없이 취소를 대조한다.</x:v>
      </x:c>
      <x:c r="H56" s="3" t="str">
        <x:v>변경이 있는 경우 폐기 확인을 제공하고 취소하면 입력이 유지된다.</x:v>
      </x:c>
      <x:c r="I56" s="11" t="str">
        <x:v>미점검</x:v>
      </x:c>
      <x:c r="J56" s="11" t="str"/>
      <x:c r="K56" s="11" t="str"/>
      <x:c r="L56" s="12" t="str"/>
      <x:c r="M56" s="11" t="str"/>
      <x:c r="N56" s="3" t="str">
        <x:v>FOCURVE 화면 명세 v1.0.xlsx 시트1!D17:E17; EXT-01 확장 프로그램 팝업 명세.xlsx 시트1!D22:E22</x:v>
      </x:c>
      <x:c r="O56" s="3" t="str">
        <x:f>IF(I56="통과",IF(OR(J56="",K56="",L56="",M56=""),"증거·확인자 보완",IF(J56=K56,"교차 확인 필요","완료")),IF(I56="해당 없음",IF(M56="","제외 사유 필요","범위 제외"),"진행 필요"))</x:f>
        <x:v>진행 필요</x:v>
      </x:c>
    </x:row>
    <x:row r="57" ht="61" customHeight="1">
      <x:c r="A57" s="9" t="str">
        <x:v>U-009</x:v>
      </x:c>
      <x:c r="B57" s="9" t="str">
        <x:v>필수 MVP</x:v>
      </x:c>
      <x:c r="C57" s="9" t="str">
        <x:v>화면 검토</x:v>
      </x:c>
      <x:c r="D57" s="9" t="str">
        <x:v>정책 표현</x:v>
      </x:c>
      <x:c r="E57" s="9" t="str">
        <x:v>선결</x:v>
      </x:c>
      <x:c r="F57" s="9" t="str">
        <x:v>[SITE-02·SESSION-01·EXT-01] 설정 변경이 다음 세션용임을 일관되게 표시하는가</x:v>
      </x:c>
      <x:c r="G57" s="9" t="str">
        <x:v>진행 중에 사이트 정책 변경/삭제 후 현재 정책 요약과 다음 세션 요약을 비교한다.</x:v>
      </x:c>
      <x:c r="H57" s="9" t="str">
        <x:v>진행 세션 스냅샷과 과거 기록은 유지되고 다음 세션 설정만 변경된다.</x:v>
      </x:c>
      <x:c r="I57" s="11" t="str">
        <x:v>미점검</x:v>
      </x:c>
      <x:c r="J57" s="11" t="str"/>
      <x:c r="K57" s="11" t="str"/>
      <x:c r="L57" s="12" t="str"/>
      <x:c r="M57" s="11" t="str"/>
      <x:c r="N57" s="9" t="str">
        <x:v>FOCURVE 화면 명세 v1.0.xlsx 시트1!D27:E27; EXT-01 확장 프로그램 팝업 명세.xlsx 시트1!D23:E24; SESSION-01 — 웹 집중 세션 화면 명세.xlsx 시트1!D26:E27</x:v>
      </x:c>
      <x:c r="O57" s="9" t="str">
        <x:f>IF(I57="통과",IF(OR(J57="",K57="",L57="",M57=""),"증거·확인자 보완",IF(J57=K57,"교차 확인 필요","완료")),IF(I57="해당 없음",IF(M57="","제외 사유 필요","범위 제외"),"진행 필요"))</x:f>
        <x:v>진행 필요</x:v>
      </x:c>
    </x:row>
    <x:row r="58" ht="46" customHeight="1">
      <x:c r="A58" s="3" t="str">
        <x:v>U-010</x:v>
      </x:c>
      <x:c r="B58" s="3" t="str">
        <x:v>필수 MVP</x:v>
      </x:c>
      <x:c r="C58" s="3" t="str">
        <x:v>화면 검토</x:v>
      </x:c>
      <x:c r="D58" s="3" t="str">
        <x:v>인증</x:v>
      </x:c>
      <x:c r="E58" s="3" t="str">
        <x:v>선결</x:v>
      </x:c>
      <x:c r="F58" s="3" t="str">
        <x:v>[LOGIN-01·EXT-01] 웹 로그인 성공과 확장 연결 성공을 분리하는가</x:v>
      </x:c>
      <x:c r="G58" s="3" t="str">
        <x:v>로그인은 성공했지만 팝업 연결 확인이 실패한 상태를 따라간다.</x:v>
      </x:c>
      <x:c r="H58" s="3" t="str">
        <x:v>연결 확인·재확인 경로가 있고 회원 연결 완료로 오인하지 않는다.</x:v>
      </x:c>
      <x:c r="I58" s="11" t="str">
        <x:v>미점검</x:v>
      </x:c>
      <x:c r="J58" s="11" t="str"/>
      <x:c r="K58" s="11" t="str"/>
      <x:c r="L58" s="12" t="str"/>
      <x:c r="M58" s="11" t="str"/>
      <x:c r="N58" s="3" t="str">
        <x:v>EXT-01 확장 프로그램 팝업 명세.xlsx 시트1!D12:E13; FOCURVE_LowFi_설계.md 138~145행</x:v>
      </x:c>
      <x:c r="O58" s="3" t="str">
        <x:f>IF(I58="통과",IF(OR(J58="",K58="",L58="",M58=""),"증거·확인자 보완",IF(J58=K58,"교차 확인 필요","완료")),IF(I58="해당 없음",IF(M58="","제외 사유 필요","범위 제외"),"진행 필요"))</x:f>
        <x:v>진행 필요</x:v>
      </x:c>
    </x:row>
    <x:row r="59" ht="46" customHeight="1">
      <x:c r="A59" s="9" t="str">
        <x:v>U-011</x:v>
      </x:c>
      <x:c r="B59" s="9" t="str">
        <x:v>필수 MVP</x:v>
      </x:c>
      <x:c r="C59" s="9" t="str">
        <x:v>화면 검토</x:v>
      </x:c>
      <x:c r="D59" s="9" t="str">
        <x:v>계정 분리</x:v>
      </x:c>
      <x:c r="E59" s="9" t="str">
        <x:v>선결</x:v>
      </x:c>
      <x:c r="F59" s="9" t="str">
        <x:v>[SESSION-01·EXT-01] 웹과 확장의 계정 불일치를 차단하는가</x:v>
      </x:c>
      <x:c r="G59" s="9" t="str">
        <x:v>웹 계정 A·확장 계정 B 상태의 시작 버튼과 안내를 검토한다.</x:v>
      </x:c>
      <x:c r="H59" s="9" t="str">
        <x:v>시작을 막고 연결 안내를 제공하며 다른 계정의 세션을 변경하지 않는다.</x:v>
      </x:c>
      <x:c r="I59" s="11" t="str">
        <x:v>미점검</x:v>
      </x:c>
      <x:c r="J59" s="11" t="str"/>
      <x:c r="K59" s="11" t="str"/>
      <x:c r="L59" s="12" t="str"/>
      <x:c r="M59" s="11" t="str"/>
      <x:c r="N59" s="9" t="str">
        <x:v>SESSION-01 — 웹 집중 세션 화면 명세.xlsx 시트1!D16:E16; EXT-01 확장 프로그램 팝업 명세.xlsx 시트1!D17:E17</x:v>
      </x:c>
      <x:c r="O59" s="9" t="str">
        <x:f>IF(I59="통과",IF(OR(J59="",K59="",L59="",M59=""),"증거·확인자 보완",IF(J59=K59,"교차 확인 필요","완료")),IF(I59="해당 없음",IF(M59="","제외 사유 필요","범위 제외"),"진행 필요"))</x:f>
        <x:v>진행 필요</x:v>
      </x:c>
    </x:row>
    <x:row r="60" ht="46" customHeight="1">
      <x:c r="A60" s="3" t="str">
        <x:v>U-012</x:v>
      </x:c>
      <x:c r="B60" s="3" t="str">
        <x:v>필수 MVP</x:v>
      </x:c>
      <x:c r="C60" s="3" t="str">
        <x:v>화면 검토</x:v>
      </x:c>
      <x:c r="D60" s="3" t="str">
        <x:v>시작 조건</x:v>
      </x:c>
      <x:c r="E60" s="3" t="str">
        <x:v>선결</x:v>
      </x:c>
      <x:c r="F60" s="3" t="str">
        <x:v>[SESSION-01·EXT-01] 조회 실패를 비회원·세션 없음·사이트 없음으로 오인하지 않는가</x:v>
      </x:c>
      <x:c r="G60" s="3" t="str">
        <x:v>현재 세션 조회와 계정 조회가 실패한 상태를 검토한다.</x:v>
      </x:c>
      <x:c r="H60" s="3" t="str">
        <x:v>조회 실패/재확인 상태이며 새 세션 시작을 성급히 허용하지 않는다.</x:v>
      </x:c>
      <x:c r="I60" s="11" t="str">
        <x:v>미점검</x:v>
      </x:c>
      <x:c r="J60" s="11" t="str"/>
      <x:c r="K60" s="11" t="str"/>
      <x:c r="L60" s="12" t="str"/>
      <x:c r="M60" s="11" t="str"/>
      <x:c r="N60" s="3" t="str">
        <x:v>SESSION-01 — 웹 집중 세션 화면 명세.xlsx 시트1!D7:E9; EXT-01 확장 프로그램 팝업 명세.xlsx 시트1!D6:E6</x:v>
      </x:c>
      <x:c r="O60" s="3" t="str">
        <x:f>IF(I60="통과",IF(OR(J60="",K60="",L60="",M60=""),"증거·확인자 보완",IF(J60=K60,"교차 확인 필요","완료")),IF(I60="해당 없음",IF(M60="","제외 사유 필요","범위 제외"),"진행 필요"))</x:f>
        <x:v>진행 필요</x:v>
      </x:c>
    </x:row>
    <x:row r="61" ht="46" customHeight="1">
      <x:c r="A61" s="9" t="str">
        <x:v>U-013</x:v>
      </x:c>
      <x:c r="B61" s="9" t="str">
        <x:v>필수 MVP</x:v>
      </x:c>
      <x:c r="C61" s="9" t="str">
        <x:v>화면 검토</x:v>
      </x:c>
      <x:c r="D61" s="9" t="str">
        <x:v>시작 조건</x:v>
      </x:c>
      <x:c r="E61" s="9" t="str">
        <x:v>선결</x:v>
      </x:c>
      <x:c r="F61" s="9" t="str">
        <x:v>[SESSION-01·EXT-01] 연결·권한·정책 준비가 확인된 후 시작이 가능한가</x:v>
      </x:c>
      <x:c r="G61" s="9" t="str">
        <x:v>확장 미확인, 권한 부족, 정책 불러오기 중 상태를 각각 검토한다.</x:v>
      </x:c>
      <x:c r="H61" s="9" t="str">
        <x:v>준비 안 된 항목과 조치가 표시되고 시작 버튼이 비활성화된다.</x:v>
      </x:c>
      <x:c r="I61" s="11" t="str">
        <x:v>미점검</x:v>
      </x:c>
      <x:c r="J61" s="11" t="str"/>
      <x:c r="K61" s="11" t="str"/>
      <x:c r="L61" s="12" t="str"/>
      <x:c r="M61" s="11" t="str"/>
      <x:c r="N61" s="9" t="str">
        <x:v>SESSION-01 — 웹 집중 세션 화면 명세.xlsx 시트1!D15:E18; EXT-01 확장 프로그램 팝업 명세.xlsx 시트1!D27:E28</x:v>
      </x:c>
      <x:c r="O61" s="9" t="str">
        <x:f>IF(I61="통과",IF(OR(J61="",K61="",L61="",M61=""),"증거·확인자 보완",IF(J61=K61,"교차 확인 필요","완료")),IF(I61="해당 없음",IF(M61="","제외 사유 필요","범위 제외"),"진행 필요"))</x:f>
        <x:v>진행 필요</x:v>
      </x:c>
    </x:row>
    <x:row r="62" ht="46" customHeight="1">
      <x:c r="A62" s="3" t="str">
        <x:v>U-014</x:v>
      </x:c>
      <x:c r="B62" s="3" t="str">
        <x:v>필수 MVP</x:v>
      </x:c>
      <x:c r="C62" s="3" t="str">
        <x:v>화면 검토</x:v>
      </x:c>
      <x:c r="D62" s="3" t="str">
        <x:v>시작 상태</x:v>
      </x:c>
      <x:c r="E62" s="3" t="str">
        <x:v>선결</x:v>
      </x:c>
      <x:c r="F62" s="3" t="str">
        <x:v>[SESSION-01·EXT-01] 실제 적용 확인 전 진행 중으로 표시하지 않는가</x:v>
      </x:c>
      <x:c r="G62" s="3" t="str">
        <x:v>요청 접수만 된 상태와 정책 적용 확인 상태를 대조한다.</x:v>
      </x:c>
      <x:c r="H62" s="3" t="str">
        <x:v>준비 중/미확인/진행 중이 구분되고 실제 적용 확인 후 진행 화면으로 전환된다.</x:v>
      </x:c>
      <x:c r="I62" s="11" t="str">
        <x:v>미점검</x:v>
      </x:c>
      <x:c r="J62" s="11" t="str"/>
      <x:c r="K62" s="11" t="str"/>
      <x:c r="L62" s="12" t="str"/>
      <x:c r="M62" s="11" t="str"/>
      <x:c r="N62" s="3" t="str">
        <x:v>SESSION-01 — 웹 집중 세션 화면 명세.xlsx 시트1!D19:E23; EXT-01 확장 프로그램 팝업 명세.xlsx 시트1!D29:E31</x:v>
      </x:c>
      <x:c r="O62" s="3" t="str">
        <x:f>IF(I62="통과",IF(OR(J62="",K62="",L62="",M62=""),"증거·확인자 보완",IF(J62=K62,"교차 확인 필요","완료")),IF(I62="해당 없음",IF(M62="","제외 사유 필요","범위 제외"),"진행 필요"))</x:f>
        <x:v>진행 필요</x:v>
      </x:c>
    </x:row>
    <x:row r="63" ht="46" customHeight="1">
      <x:c r="A63" s="9" t="str">
        <x:v>U-015</x:v>
      </x:c>
      <x:c r="B63" s="9" t="str">
        <x:v>필수 MVP</x:v>
      </x:c>
      <x:c r="C63" s="9" t="str">
        <x:v>화면 검토</x:v>
      </x:c>
      <x:c r="D63" s="9" t="str">
        <x:v>시작 상태</x:v>
      </x:c>
      <x:c r="E63" s="9" t="str">
        <x:v>선결</x:v>
      </x:c>
      <x:c r="F63" s="9" t="str">
        <x:v>[SESSION-01·EXT-01] 시작 중복·응답 미확인 재시도에 기존 세션 확인이 있는가</x:v>
      </x:c>
      <x:c r="G63" s="9" t="str">
        <x:v>더블 클릭과 지연 후 재시도 시나리오를 검토한다.</x:v>
      </x:c>
      <x:c r="H63" s="9" t="str">
        <x:v>새 세션 중복 생성 없이 기존 상태를 확인하며 미확인을 실패로 단정하지 않는다.</x:v>
      </x:c>
      <x:c r="I63" s="11" t="str">
        <x:v>미점검</x:v>
      </x:c>
      <x:c r="J63" s="11" t="str"/>
      <x:c r="K63" s="11" t="str"/>
      <x:c r="L63" s="12" t="str"/>
      <x:c r="M63" s="11" t="str"/>
      <x:c r="N63" s="9" t="str">
        <x:v>SESSION-01 — 웹 집중 세션 화면 명세.xlsx 시트1!D20:E24; EXT-01 확장 프로그램 팝업 명세.xlsx 시트1!D28:E31</x:v>
      </x:c>
      <x:c r="O63" s="9" t="str">
        <x:f>IF(I63="통과",IF(OR(J63="",K63="",L63="",M63=""),"증거·확인자 보완",IF(J63=K63,"교차 확인 필요","완료")),IF(I63="해당 없음",IF(M63="","제외 사유 필요","범위 제외"),"진행 필요"))</x:f>
        <x:v>진행 필요</x:v>
      </x:c>
    </x:row>
    <x:row r="64" ht="46" customHeight="1">
      <x:c r="A64" s="3" t="str">
        <x:v>U-016</x:v>
      </x:c>
      <x:c r="B64" s="3" t="str">
        <x:v>필수 MVP</x:v>
      </x:c>
      <x:c r="C64" s="3" t="str">
        <x:v>화면 검토</x:v>
      </x:c>
      <x:c r="D64" s="3" t="str">
        <x:v>시작 상태</x:v>
      </x:c>
      <x:c r="E64" s="3" t="str">
        <x:v>선결</x:v>
      </x:c>
      <x:c r="F64" s="3" t="str">
        <x:v>[SESSION-01·EXT-01] 부분 적용 실패 후 정책 정리 상태가 있는가</x:v>
      </x:c>
      <x:c r="G64" s="3" t="str">
        <x:v>사이트 정책 일부 적용 뒤 시작 실패/취소 사례를 검토한다.</x:v>
      </x:c>
      <x:c r="H64" s="3" t="str">
        <x:v>잔여 정책 정리 완료 전 정상 준비로 표시하지 않으며 재확인 경로가 있다.</x:v>
      </x:c>
      <x:c r="I64" s="11" t="str">
        <x:v>미점검</x:v>
      </x:c>
      <x:c r="J64" s="11" t="str"/>
      <x:c r="K64" s="11" t="str"/>
      <x:c r="L64" s="12" t="str"/>
      <x:c r="M64" s="11" t="str"/>
      <x:c r="N64" s="3" t="str">
        <x:v>SESSION-01 — 웹 집중 세션 화면 명세.xlsx 시트1!D24:E24; EXT-01 확장 프로그램 팝업 명세.xlsx 시트1!D31:E31</x:v>
      </x:c>
      <x:c r="O64" s="3" t="str">
        <x:f>IF(I64="통과",IF(OR(J64="",K64="",L64="",M64=""),"증거·확인자 보완",IF(J64=K64,"교차 확인 필요","완료")),IF(I64="해당 없음",IF(M64="","제외 사유 필요","범위 제외"),"진행 필요"))</x:f>
        <x:v>진행 필요</x:v>
      </x:c>
    </x:row>
    <x:row r="65" ht="61" customHeight="1">
      <x:c r="A65" s="9" t="str">
        <x:v>U-017</x:v>
      </x:c>
      <x:c r="B65" s="9" t="str">
        <x:v>필수 MVP</x:v>
      </x:c>
      <x:c r="C65" s="9" t="str">
        <x:v>화면 검토</x:v>
      </x:c>
      <x:c r="D65" s="9" t="str">
        <x:v>진행 상태</x:v>
      </x:c>
      <x:c r="E65" s="9" t="str">
        <x:v>선결</x:v>
      </x:c>
      <x:c r="F65" s="9" t="str">
        <x:v>[SESSION-01·EXT-01] 재진입 시 같은 세션과 남은 시간을 복원하는가</x:v>
      </x:c>
      <x:c r="G65" s="9" t="str">
        <x:v>웹 새로고침, 탭 닫기/복귀, 팝업 닫기/다시 열기를 검토한다.</x:v>
      </x:c>
      <x:c r="H65" s="9" t="str">
        <x:v>시간과 세션을 초기화하지 않으며 화면 이탈만으로 종료하지 않는다.</x:v>
      </x:c>
      <x:c r="I65" s="11" t="str">
        <x:v>미점검</x:v>
      </x:c>
      <x:c r="J65" s="11" t="str"/>
      <x:c r="K65" s="11" t="str"/>
      <x:c r="L65" s="12" t="str"/>
      <x:c r="M65" s="11" t="str"/>
      <x:c r="N65" s="9" t="str">
        <x:v>SESSION-01 — 웹 집중 세션 화면 명세.xlsx 시트1!D25:E28; EXT-01 확장 프로그램 팝업 명세.xlsx 시트1!D7:E7,D32:E32</x:v>
      </x:c>
      <x:c r="O65" s="9" t="str">
        <x:f>IF(I65="통과",IF(OR(J65="",K65="",L65="",M65=""),"증거·확인자 보완",IF(J65=K65,"교차 확인 필요","완료")),IF(I65="해당 없음",IF(M65="","제외 사유 필요","범위 제외"),"진행 필요"))</x:f>
        <x:v>진행 필요</x:v>
      </x:c>
    </x:row>
    <x:row r="66" ht="46" customHeight="1">
      <x:c r="A66" s="3" t="str">
        <x:v>U-018</x:v>
      </x:c>
      <x:c r="B66" s="3" t="str">
        <x:v>필수 MVP</x:v>
      </x:c>
      <x:c r="C66" s="3" t="str">
        <x:v>화면 검토</x:v>
      </x:c>
      <x:c r="D66" s="3" t="str">
        <x:v>진행 상태</x:v>
      </x:c>
      <x:c r="E66" s="3" t="str">
        <x:v>선결</x:v>
      </x:c>
      <x:c r="F66" s="3" t="str">
        <x:v>[SESSION-01·EXT-01] 서버 통신 끊김과 실제 차단 상태를 구분하는가</x:v>
      </x:c>
      <x:c r="G66" s="3" t="str">
        <x:v>진행 중 네트워크 끊김 화면과 저장 대기 표시를 확인한다.</x:v>
      </x:c>
      <x:c r="H66" s="3" t="str">
        <x:v>이미 적용된 정책을 통신 오류만으로 해제하지 않고 전송 대기를 별도 표시한다.</x:v>
      </x:c>
      <x:c r="I66" s="11" t="str">
        <x:v>미점검</x:v>
      </x:c>
      <x:c r="J66" s="11" t="str"/>
      <x:c r="K66" s="11" t="str"/>
      <x:c r="L66" s="12" t="str"/>
      <x:c r="M66" s="11" t="str"/>
      <x:c r="N66" s="3" t="str">
        <x:v>SESSION-01 — 웹 집중 세션 화면 명세.xlsx 시트1!D39:E40; EXT-01 확장 프로그램 팝업 명세.xlsx 시트1!D33:E33</x:v>
      </x:c>
      <x:c r="O66" s="3" t="str">
        <x:f>IF(I66="통과",IF(OR(J66="",K66="",L66="",M66=""),"증거·확인자 보완",IF(J66=K66,"교차 확인 필요","완료")),IF(I66="해당 없음",IF(M66="","제외 사유 필요","범위 제외"),"진행 필요"))</x:f>
        <x:v>진행 필요</x:v>
      </x:c>
    </x:row>
    <x:row r="67" ht="46" customHeight="1">
      <x:c r="A67" s="9" t="str">
        <x:v>U-019</x:v>
      </x:c>
      <x:c r="B67" s="9" t="str">
        <x:v>필수 MVP</x:v>
      </x:c>
      <x:c r="C67" s="9" t="str">
        <x:v>화면 검토</x:v>
      </x:c>
      <x:c r="D67" s="9" t="str">
        <x:v>종료 상태</x:v>
      </x:c>
      <x:c r="E67" s="9" t="str">
        <x:v>선결</x:v>
      </x:c>
      <x:c r="F67" s="9" t="str">
        <x:v>[SESSION-01·EXT-01] 직접 종료의 확인 취소와 중복 제출 방지를 검토했는가</x:v>
      </x:c>
      <x:c r="G67" s="9" t="str">
        <x:v>종료 확인에서 취소와 확정을 각각 선택한다.</x:v>
      </x:c>
      <x:c r="H67" s="9" t="str">
        <x:v>취소는 계속 진행, 확정은 해제 요청이며 중복 요청을 막는다.</x:v>
      </x:c>
      <x:c r="I67" s="11" t="str">
        <x:v>미점검</x:v>
      </x:c>
      <x:c r="J67" s="11" t="str"/>
      <x:c r="K67" s="11" t="str"/>
      <x:c r="L67" s="12" t="str"/>
      <x:c r="M67" s="11" t="str"/>
      <x:c r="N67" s="9" t="str">
        <x:v>SESSION-01 — 웹 집중 세션 화면 명세.xlsx 시트1!D29:E30; EXT-01 확장 프로그램 팝업 명세.xlsx 시트1!D35:E35</x:v>
      </x:c>
      <x:c r="O67" s="9" t="str">
        <x:f>IF(I67="통과",IF(OR(J67="",K67="",L67="",M67=""),"증거·확인자 보완",IF(J67=K67,"교차 확인 필요","완료")),IF(I67="해당 없음",IF(M67="","제외 사유 필요","범위 제외"),"진행 필요"))</x:f>
        <x:v>진행 필요</x:v>
      </x:c>
    </x:row>
    <x:row r="68" ht="46" customHeight="1">
      <x:c r="A68" s="3" t="str">
        <x:v>U-020</x:v>
      </x:c>
      <x:c r="B68" s="3" t="str">
        <x:v>필수 MVP</x:v>
      </x:c>
      <x:c r="C68" s="3" t="str">
        <x:v>화면 검토</x:v>
      </x:c>
      <x:c r="D68" s="3" t="str">
        <x:v>종료 상태</x:v>
      </x:c>
      <x:c r="E68" s="3" t="str">
        <x:v>선결</x:v>
      </x:c>
      <x:c r="F68" s="3" t="str">
        <x:v>[SESSION-01·EXT-01] 시간 만료 시 웹 없이 정책을 해제하도록 설계했는가</x:v>
      </x:c>
      <x:c r="G68" s="3" t="str">
        <x:v>웹 탭과 팝업을 닫은 상태에서 만료되는 시나리오를 검토한다.</x:v>
      </x:c>
      <x:c r="H68" s="3" t="str">
        <x:v>확장 프로그램이 확인창 없이 해제하며 서버 저장 응답을 기다리지 않는다.</x:v>
      </x:c>
      <x:c r="I68" s="11" t="str">
        <x:v>미점검</x:v>
      </x:c>
      <x:c r="J68" s="11" t="str"/>
      <x:c r="K68" s="11" t="str"/>
      <x:c r="L68" s="12" t="str"/>
      <x:c r="M68" s="11" t="str"/>
      <x:c r="N68" s="3" t="str">
        <x:v>SESSION-01 — 웹 집중 세션 화면 명세.xlsx 시트1!D31:E32; EXT-01 확장 프로그램 팝업 명세.xlsx 시트1!D36:E36</x:v>
      </x:c>
      <x:c r="O68" s="3" t="str">
        <x:f>IF(I68="통과",IF(OR(J68="",K68="",L68="",M68=""),"증거·확인자 보완",IF(J68=K68,"교차 확인 필요","완료")),IF(I68="해당 없음",IF(M68="","제외 사유 필요","범위 제외"),"진행 필요"))</x:f>
        <x:v>진행 필요</x:v>
      </x:c>
    </x:row>
    <x:row r="69" ht="46" customHeight="1">
      <x:c r="A69" s="9" t="str">
        <x:v>U-021</x:v>
      </x:c>
      <x:c r="B69" s="9" t="str">
        <x:v>필수 MVP</x:v>
      </x:c>
      <x:c r="C69" s="9" t="str">
        <x:v>화면 검토</x:v>
      </x:c>
      <x:c r="D69" s="9" t="str">
        <x:v>종료 상태</x:v>
      </x:c>
      <x:c r="E69" s="9" t="str">
        <x:v>선결</x:v>
      </x:c>
      <x:c r="F69" s="9" t="str">
        <x:v>[SESSION-01·EXT-01] 정책 해제 실패/미확인을 정상 종료와 구분했는가</x:v>
      </x:c>
      <x:c r="G69" s="9" t="str">
        <x:v>해제 요청 후 결과 미확인, 해제 실패 상태를 확인한다.</x:v>
      </x:c>
      <x:c r="H69" s="9" t="str">
        <x:v>정상 종료/새 시작을 허용하지 않고 점검·재확인 경로를 제공한다.</x:v>
      </x:c>
      <x:c r="I69" s="11" t="str">
        <x:v>미점검</x:v>
      </x:c>
      <x:c r="J69" s="11" t="str"/>
      <x:c r="K69" s="11" t="str"/>
      <x:c r="L69" s="12" t="str"/>
      <x:c r="M69" s="11" t="str"/>
      <x:c r="N69" s="9" t="str">
        <x:v>SESSION-01 — 웹 집중 세션 화면 명세.xlsx 시트1!D33:E33; EXT-01 확장 프로그램 팝업 명세.xlsx 시트1!D37:E37</x:v>
      </x:c>
      <x:c r="O69" s="9" t="str">
        <x:f>IF(I69="통과",IF(OR(J69="",K69="",L69="",M69=""),"증거·확인자 보완",IF(J69=K69,"교차 확인 필요","완료")),IF(I69="해당 없음",IF(M69="","제외 사유 필요","범위 제외"),"진행 필요"))</x:f>
        <x:v>진행 필요</x:v>
      </x:c>
    </x:row>
    <x:row r="70" ht="46" customHeight="1">
      <x:c r="A70" s="3" t="str">
        <x:v>U-022</x:v>
      </x:c>
      <x:c r="B70" s="3" t="str">
        <x:v>필수 MVP</x:v>
      </x:c>
      <x:c r="C70" s="3" t="str">
        <x:v>화면 검토</x:v>
      </x:c>
      <x:c r="D70" s="3" t="str">
        <x:v>종료 상태</x:v>
      </x:c>
      <x:c r="E70" s="3" t="str">
        <x:v>선결</x:v>
      </x:c>
      <x:c r="F70" s="3" t="str">
        <x:v>[SESSION-01·EXT-01] 정책 해제와 저장·동기화를 독립적으로 보여주는가</x:v>
      </x:c>
      <x:c r="G70" s="3" t="str">
        <x:v>해제 성공+저장 실패/전송 대기 조합을 검토한다.</x:v>
      </x:c>
      <x:c r="H70" s="3" t="str">
        <x:v>사용자는 제한 해제와 미저장 상태를 따로 알 수 있고 저장 실패로 차단을 재적용하지 않는다.</x:v>
      </x:c>
      <x:c r="I70" s="11" t="str">
        <x:v>미점검</x:v>
      </x:c>
      <x:c r="J70" s="11" t="str"/>
      <x:c r="K70" s="11" t="str"/>
      <x:c r="L70" s="12" t="str"/>
      <x:c r="M70" s="11" t="str"/>
      <x:c r="N70" s="3" t="str">
        <x:v>SESSION-01 — 웹 집중 세션 화면 명세.xlsx 시트1!D34:E34; EXT-01 확장 프로그램 팝업 명세.xlsx 시트1!D38:E38</x:v>
      </x:c>
      <x:c r="O70" s="3" t="str">
        <x:f>IF(I70="통과",IF(OR(J70="",K70="",L70="",M70=""),"증거·확인자 보완",IF(J70=K70,"교차 확인 필요","완료")),IF(I70="해당 없음",IF(M70="","제외 사유 필요","범위 제외"),"진행 필요"))</x:f>
        <x:v>진행 필요</x:v>
      </x:c>
    </x:row>
    <x:row r="71" ht="46" customHeight="1">
      <x:c r="A71" s="9" t="str">
        <x:v>U-023</x:v>
      </x:c>
      <x:c r="B71" s="9" t="str">
        <x:v>필수 MVP</x:v>
      </x:c>
      <x:c r="C71" s="9" t="str">
        <x:v>화면 검토</x:v>
      </x:c>
      <x:c r="D71" s="9" t="str">
        <x:v>결과 표기</x:v>
      </x:c>
      <x:c r="E71" s="9" t="str">
        <x:v>중요</x:v>
      </x:c>
      <x:c r="F71" s="9" t="str">
        <x:v>[SESSION-01·EXT-01] 경과 시간을 실제 순공 시간으로 표현하지 않는가</x:v>
      </x:c>
      <x:c r="G71" s="9" t="str">
        <x:v>결과 카드·툴팁·제목의 시간 설명을 확인한다.</x:v>
      </x:c>
      <x:c r="H71" s="9" t="str">
        <x:v>세션 경과/완료 기준이 명확하며 실제 주의집중을 측정한 값으로 표현하지 않는다.</x:v>
      </x:c>
      <x:c r="I71" s="11" t="str">
        <x:v>미점검</x:v>
      </x:c>
      <x:c r="J71" s="11" t="str"/>
      <x:c r="K71" s="11" t="str"/>
      <x:c r="L71" s="12" t="str"/>
      <x:c r="M71" s="11" t="str"/>
      <x:c r="N71" s="9" t="str">
        <x:v>SESSION-01 — 웹 집중 세션 화면 명세.xlsx 시트1!D35:E35; EXT-01 확장 프로그램 팝업 명세.xlsx 시트1!D39:E39</x:v>
      </x:c>
      <x:c r="O71" s="9" t="str">
        <x:f>IF(I71="통과",IF(OR(J71="",K71="",L71="",M71=""),"증거·확인자 보완",IF(J71=K71,"교차 확인 필요","완료")),IF(I71="해당 없음",IF(M71="","제외 사유 필요","범위 제외"),"진행 필요"))</x:f>
        <x:v>진행 필요</x:v>
      </x:c>
    </x:row>
    <x:row r="72" ht="46" customHeight="1">
      <x:c r="A72" s="3" t="str">
        <x:v>U-024</x:v>
      </x:c>
      <x:c r="B72" s="3" t="str">
        <x:v>필수 MVP</x:v>
      </x:c>
      <x:c r="C72" s="3" t="str">
        <x:v>화면 검토</x:v>
      </x:c>
      <x:c r="D72" s="3" t="str">
        <x:v>결과 표기</x:v>
      </x:c>
      <x:c r="E72" s="3" t="str">
        <x:v>선결</x:v>
      </x:c>
      <x:c r="F72" s="3" t="str">
        <x:v>[DASH-01·LOG-01·STAT-01·EXT-01] 반복 접근을 전체 접근에 중복 합산하지 않는가</x:v>
      </x:c>
      <x:c r="G72" s="3" t="str">
        <x:v>같은 세션·같은 대상 3회 접근 표본으로 합계/반복 표기를 검토한다.</x:v>
      </x:c>
      <x:c r="H72" s="3" t="str">
        <x:v>전체 3회·반복 2회이며 차단/기록/기능 제한 합계에 반복을 추가하지 않는다.</x:v>
      </x:c>
      <x:c r="I72" s="11" t="str">
        <x:v>미점검</x:v>
      </x:c>
      <x:c r="J72" s="11" t="str"/>
      <x:c r="K72" s="11" t="str"/>
      <x:c r="L72" s="12" t="str"/>
      <x:c r="M72" s="11" t="str"/>
      <x:c r="N72" s="3" t="str">
        <x:v>EXT-01 확장 프로그램 팝업 명세.xlsx 시트1!D42:E42; FOCURVE_LowFi_설계.md 226행</x:v>
      </x:c>
      <x:c r="O72" s="3" t="str">
        <x:f>IF(I72="통과",IF(OR(J72="",K72="",L72="",M72=""),"증거·확인자 보완",IF(J72=K72,"교차 확인 필요","완료")),IF(I72="해당 없음",IF(M72="","제외 사유 필요","범위 제외"),"진행 필요"))</x:f>
        <x:v>진행 필요</x:v>
      </x:c>
    </x:row>
    <x:row r="73" ht="46" customHeight="1">
      <x:c r="A73" s="9" t="str">
        <x:v>U-025</x:v>
      </x:c>
      <x:c r="B73" s="9" t="str">
        <x:v>필수 MVP</x:v>
      </x:c>
      <x:c r="C73" s="9" t="str">
        <x:v>화면 검토</x:v>
      </x:c>
      <x:c r="D73" s="9" t="str">
        <x:v>결과 표기</x:v>
      </x:c>
      <x:c r="E73" s="9" t="str">
        <x:v>중요</x:v>
      </x:c>
      <x:c r="F73" s="9" t="str">
        <x:v>[SESSION-01·EXT-01] 종료 후 상세 이동이 현재 세션을 유지하는가</x:v>
      </x:c>
      <x:c r="G73" s="9" t="str">
        <x:v>결과에서 행동 기록/통계 보기로 이동해 선택된 세션 조건을 확인한다.</x:v>
      </x:c>
      <x:c r="H73" s="9" t="str">
        <x:v>세션 식별과 전송 대기 안내가 이어지며 사용자가 다른 기간과 혼동하지 않는다.</x:v>
      </x:c>
      <x:c r="I73" s="11" t="str">
        <x:v>미점검</x:v>
      </x:c>
      <x:c r="J73" s="11" t="str"/>
      <x:c r="K73" s="11" t="str"/>
      <x:c r="L73" s="12" t="str"/>
      <x:c r="M73" s="11" t="str"/>
      <x:c r="N73" s="9" t="str">
        <x:v>SESSION-01 — 웹 집중 세션 화면 명세.xlsx 시트1!D36:E36; EXT-01 확장 프로그램 팝업 명세.xlsx 시트1!D41:E41</x:v>
      </x:c>
      <x:c r="O73" s="9" t="str">
        <x:f>IF(I73="통과",IF(OR(J73="",K73="",L73="",M73=""),"증거·확인자 보완",IF(J73=K73,"교차 확인 필요","완료")),IF(I73="해당 없음",IF(M73="","제외 사유 필요","범위 제외"),"진행 필요"))</x:f>
        <x:v>진행 필요</x:v>
      </x:c>
    </x:row>
    <x:row r="74" ht="46" customHeight="1">
      <x:c r="A74" s="3" t="str">
        <x:v>U-026</x:v>
      </x:c>
      <x:c r="B74" s="3" t="str">
        <x:v>필수 MVP</x:v>
      </x:c>
      <x:c r="C74" s="3" t="str">
        <x:v>화면 검토</x:v>
      </x:c>
      <x:c r="D74" s="3" t="str">
        <x:v>결과 표기</x:v>
      </x:c>
      <x:c r="E74" s="3" t="str">
        <x:v>중요</x:v>
      </x:c>
      <x:c r="F74" s="3" t="str">
        <x:v>[SESSION-01] 다음 세션 준비가 자동 시작으로 오인되지 않는가</x:v>
      </x:c>
      <x:c r="G74" s="3" t="str">
        <x:v>종료 결과에서 다음 세션 준비를 선택한다.</x:v>
      </x:c>
      <x:c r="H74" s="3" t="str">
        <x:v>최신 정책을 다시 불러와 준비 상태로 이동하고 별도 시작 행동을 요구한다.</x:v>
      </x:c>
      <x:c r="I74" s="11" t="str">
        <x:v>미점검</x:v>
      </x:c>
      <x:c r="J74" s="11" t="str"/>
      <x:c r="K74" s="11" t="str"/>
      <x:c r="L74" s="12" t="str"/>
      <x:c r="M74" s="11" t="str"/>
      <x:c r="N74" s="3" t="str">
        <x:v>SESSION-01 — 웹 집중 세션 화면 명세.xlsx 시트1!D37:E37</x:v>
      </x:c>
      <x:c r="O74" s="3" t="str">
        <x:f>IF(I74="통과",IF(OR(J74="",K74="",L74="",M74=""),"증거·확인자 보완",IF(J74=K74,"교차 확인 필요","완료")),IF(I74="해당 없음",IF(M74="","제외 사유 필요","범위 제외"),"진행 필요"))</x:f>
        <x:v>진행 필요</x:v>
      </x:c>
    </x:row>
    <x:row r="75" ht="61" customHeight="1">
      <x:c r="A75" s="9" t="str">
        <x:v>U-027</x:v>
      </x:c>
      <x:c r="B75" s="9" t="str">
        <x:v>공통</x:v>
      </x:c>
      <x:c r="C75" s="9" t="str">
        <x:v>화면 검토</x:v>
      </x:c>
      <x:c r="D75" s="9" t="str">
        <x:v>조회 상태</x:v>
      </x:c>
      <x:c r="E75" s="9" t="str">
        <x:v>선결</x:v>
      </x:c>
      <x:c r="F75" s="9" t="str">
        <x:v>로딩·0건·조회 실패·전송 대기를 구분했는가</x:v>
      </x:c>
      <x:c r="G75" s="9" t="str">
        <x:v>동일 목록에 네 상태를 배치해 문구/재시도/마지막 반영 시각을 비교한다.</x:v>
      </x:c>
      <x:c r="H75" s="9" t="str">
        <x:v>오류/미전송을 0으로 표시하지 않고 데이터 없음이 확인된 경우만 빈 결과를 표시한다.</x:v>
      </x:c>
      <x:c r="I75" s="11" t="str">
        <x:v>미점검</x:v>
      </x:c>
      <x:c r="J75" s="11" t="str"/>
      <x:c r="K75" s="11" t="str"/>
      <x:c r="L75" s="12" t="str"/>
      <x:c r="M75" s="11" t="str"/>
      <x:c r="N75" s="9" t="str">
        <x:v>SESSION-01 — 웹 집중 세션 화면 명세.xlsx 시트1!D38:E38; EXT-01 확장 프로그램 팝업 명세.xlsx 시트1!D43:E43; FOCURVE_LowFi_설계.md 297행</x:v>
      </x:c>
      <x:c r="O75" s="9" t="str">
        <x:f>IF(I75="통과",IF(OR(J75="",K75="",L75="",M75=""),"증거·확인자 보완",IF(J75=K75,"교차 확인 필요","완료")),IF(I75="해당 없음",IF(M75="","제외 사유 필요","범위 제외"),"진행 필요"))</x:f>
        <x:v>진행 필요</x:v>
      </x:c>
    </x:row>
    <x:row r="76" ht="46" customHeight="1">
      <x:c r="A76" s="3" t="str">
        <x:v>U-028</x:v>
      </x:c>
      <x:c r="B76" s="3" t="str">
        <x:v>필수 MVP</x:v>
      </x:c>
      <x:c r="C76" s="3" t="str">
        <x:v>화면 검토</x:v>
      </x:c>
      <x:c r="D76" s="3" t="str">
        <x:v>비회원</x:v>
      </x:c>
      <x:c r="E76" s="3" t="str">
        <x:v>선결</x:v>
      </x:c>
      <x:c r="F76" s="3" t="str">
        <x:v>[EXT-01] 비회원 기록 확인에 로그인을 강제하지 않는가</x:v>
      </x:c>
      <x:c r="G76" s="3" t="str">
        <x:v>비회원 메인→세션 종료→로컬 기록→상세를 따라간다.</x:v>
      </x:c>
      <x:c r="H76" s="3" t="str">
        <x:v>브라우저 저장임을 알리고 로그인 없이 로컬 기록/결과를 확인할 수 있다.</x:v>
      </x:c>
      <x:c r="I76" s="11" t="str">
        <x:v>미점검</x:v>
      </x:c>
      <x:c r="J76" s="11" t="str"/>
      <x:c r="K76" s="11" t="str"/>
      <x:c r="L76" s="12" t="str"/>
      <x:c r="M76" s="11" t="str"/>
      <x:c r="N76" s="3" t="str">
        <x:v>EXT-01 확장 프로그램 팝업 명세.xlsx 시트1!D14:E15,D40:E40</x:v>
      </x:c>
      <x:c r="O76" s="3" t="str">
        <x:f>IF(I76="통과",IF(OR(J76="",K76="",L76="",M76=""),"증거·확인자 보완",IF(J76=K76,"교차 확인 필요","완료")),IF(I76="해당 없음",IF(M76="","제외 사유 필요","범위 제외"),"진행 필요"))</x:f>
        <x:v>진행 필요</x:v>
      </x:c>
    </x:row>
    <x:row r="77" ht="46" customHeight="1">
      <x:c r="A77" s="9" t="str">
        <x:v>U-029</x:v>
      </x:c>
      <x:c r="B77" s="9" t="str">
        <x:v>필수 MVP</x:v>
      </x:c>
      <x:c r="C77" s="9" t="str">
        <x:v>화면 검토</x:v>
      </x:c>
      <x:c r="D77" s="9" t="str">
        <x:v>비회원</x:v>
      </x:c>
      <x:c r="E77" s="9" t="str">
        <x:v>선결</x:v>
      </x:c>
      <x:c r="F77" s="9" t="str">
        <x:v>[EXT-01] 비회원 진행 세션에서 계정 전환 전 종료 확인이 있는가</x:v>
      </x:c>
      <x:c r="G77" s="9" t="str">
        <x:v>진행 중 웹에서 로그인을 선택하고 종료 취소/확정을 각각 검토한다.</x:v>
      </x:c>
      <x:c r="H77" s="9" t="str">
        <x:v>취소하면 원래 세션을 유지하고 종료한 뒤 회원 상태로 전환한다.</x:v>
      </x:c>
      <x:c r="I77" s="11" t="str">
        <x:v>미점검</x:v>
      </x:c>
      <x:c r="J77" s="11" t="str"/>
      <x:c r="K77" s="11" t="str"/>
      <x:c r="L77" s="12" t="str"/>
      <x:c r="M77" s="11" t="str"/>
      <x:c r="N77" s="9" t="str">
        <x:v>EXT-01 확장 프로그램 팝업 명세.xlsx 시트1!D16:E16,D44:E44</x:v>
      </x:c>
      <x:c r="O77" s="9" t="str">
        <x:f>IF(I77="통과",IF(OR(J77="",K77="",L77="",M77=""),"증거·확인자 보완",IF(J77=K77,"교차 확인 필요","완료")),IF(I77="해당 없음",IF(M77="","제외 사유 필요","범위 제외"),"진행 필요"))</x:f>
        <x:v>진행 필요</x:v>
      </x:c>
    </x:row>
    <x:row r="78" ht="46" customHeight="1">
      <x:c r="A78" s="3" t="str">
        <x:v>U-030</x:v>
      </x:c>
      <x:c r="B78" s="3" t="str">
        <x:v>필수 MVP</x:v>
      </x:c>
      <x:c r="C78" s="3" t="str">
        <x:v>화면 검토</x:v>
      </x:c>
      <x:c r="D78" s="3" t="str">
        <x:v>자료 가져오기</x:v>
      </x:c>
      <x:c r="E78" s="3" t="str">
        <x:v>선결</x:v>
      </x:c>
      <x:c r="F78" s="3" t="str">
        <x:v>[EXT-01] 로그인만으로 비회원 자료를 자동 업로드하지 않는가</x:v>
      </x:c>
      <x:c r="G78" s="3" t="str">
        <x:v>로그인 성공 후 가져오기 선택/건너뛰기 두 흐름을 검토한다.</x:v>
      </x:c>
      <x:c r="H78" s="3" t="str">
        <x:v>대상 계정과 자료 범위를 먼저 확인하며 건너뛰어도 회원 이용을 막지 않는다.</x:v>
      </x:c>
      <x:c r="I78" s="11" t="str">
        <x:v>미점검</x:v>
      </x:c>
      <x:c r="J78" s="11" t="str"/>
      <x:c r="K78" s="11" t="str"/>
      <x:c r="L78" s="12" t="str"/>
      <x:c r="M78" s="11" t="str"/>
      <x:c r="N78" s="3" t="str">
        <x:v>EXT-01 확장 프로그램 팝업 명세.xlsx 시트1!D44:E46</x:v>
      </x:c>
      <x:c r="O78" s="3" t="str">
        <x:f>IF(I78="통과",IF(OR(J78="",K78="",L78="",M78=""),"증거·확인자 보완",IF(J78=K78,"교차 확인 필요","완료")),IF(I78="해당 없음",IF(M78="","제외 사유 필요","범위 제외"),"진행 필요"))</x:f>
        <x:v>진행 필요</x:v>
      </x:c>
    </x:row>
    <x:row r="79" ht="46" customHeight="1">
      <x:c r="A79" s="9" t="str">
        <x:v>U-031</x:v>
      </x:c>
      <x:c r="B79" s="9" t="str">
        <x:v>필수 MVP</x:v>
      </x:c>
      <x:c r="C79" s="9" t="str">
        <x:v>화면 검토</x:v>
      </x:c>
      <x:c r="D79" s="9" t="str">
        <x:v>자료 가져오기</x:v>
      </x:c>
      <x:c r="E79" s="9" t="str">
        <x:v>선결</x:v>
      </x:c>
      <x:c r="F79" s="9" t="str">
        <x:v>[EXT-01] 부분 성공/미확인 처리와 로컬 정리 기준을 검토했는가</x:v>
      </x:c>
      <x:c r="G79" s="9" t="str">
        <x:v>일부 자료만 서버 저장 확인된 상태에서 팝업을 닫고 다시 연다.</x:v>
      </x:c>
      <x:c r="H79" s="9" t="str">
        <x:v>성공 확인 항목만 정리하며 미선택/충돌/미완료 자료는 남고 중복 전송 없이 재시도한다.</x:v>
      </x:c>
      <x:c r="I79" s="11" t="str">
        <x:v>미점검</x:v>
      </x:c>
      <x:c r="J79" s="11" t="str"/>
      <x:c r="K79" s="11" t="str"/>
      <x:c r="L79" s="12" t="str"/>
      <x:c r="M79" s="11" t="str"/>
      <x:c r="N79" s="9" t="str">
        <x:v>EXT-01 확장 프로그램 팝업 명세.xlsx 시트1!D47:E50</x:v>
      </x:c>
      <x:c r="O79" s="9" t="str">
        <x:f>IF(I79="통과",IF(OR(J79="",K79="",L79="",M79=""),"증거·확인자 보완",IF(J79=K79,"교차 확인 필요","완료")),IF(I79="해당 없음",IF(M79="","제외 사유 필요","범위 제외"),"진행 필요"))</x:f>
        <x:v>진행 필요</x:v>
      </x:c>
    </x:row>
    <x:row r="80" ht="46" customHeight="1">
      <x:c r="A80" s="3" t="str">
        <x:v>U-032</x:v>
      </x:c>
      <x:c r="B80" s="3" t="str">
        <x:v>필수 MVP</x:v>
      </x:c>
      <x:c r="C80" s="3" t="str">
        <x:v>화면 검토</x:v>
      </x:c>
      <x:c r="D80" s="3" t="str">
        <x:v>인증 상태</x:v>
      </x:c>
      <x:c r="E80" s="3" t="str">
        <x:v>선결</x:v>
      </x:c>
      <x:c r="F80" s="3" t="str">
        <x:v>[SESSION-01·EXT-01] 인증 만료가 진행 정책 상태와 분리되는가</x:v>
      </x:c>
      <x:c r="G80" s="3" t="str">
        <x:v>진행 중 인증 만료 시 웹과 팝업 안내를 비교한다.</x:v>
      </x:c>
      <x:c r="H80" s="3" t="str">
        <x:v>비회원으로 임의 전환하지 않고 상태 확인/종료 및 재로그인 경로를 제공한다.</x:v>
      </x:c>
      <x:c r="I80" s="11" t="str">
        <x:v>미점검</x:v>
      </x:c>
      <x:c r="J80" s="11" t="str"/>
      <x:c r="K80" s="11" t="str"/>
      <x:c r="L80" s="12" t="str"/>
      <x:c r="M80" s="11" t="str"/>
      <x:c r="N80" s="3" t="str">
        <x:v>SESSION-01 — 웹 집중 세션 화면 명세.xlsx 시트1!D41:E41; EXT-01 확장 프로그램 팝업 명세.xlsx 시트1!D53:E53</x:v>
      </x:c>
      <x:c r="O80" s="3" t="str">
        <x:f>IF(I80="통과",IF(OR(J80="",K80="",L80="",M80=""),"증거·확인자 보완",IF(J80=K80,"교차 확인 필요","완료")),IF(I80="해당 없음",IF(M80="","제외 사유 필요","범위 제외"),"진행 필요"))</x:f>
        <x:v>진행 필요</x:v>
      </x:c>
    </x:row>
    <x:row r="81" ht="61" customHeight="1">
      <x:c r="A81" s="9" t="str">
        <x:v>U-033</x:v>
      </x:c>
      <x:c r="B81" s="9" t="str">
        <x:v>필수 MVP</x:v>
      </x:c>
      <x:c r="C81" s="9" t="str">
        <x:v>화면 검토</x:v>
      </x:c>
      <x:c r="D81" s="9" t="str">
        <x:v>차단 안내</x:v>
      </x:c>
      <x:c r="E81" s="9" t="str">
        <x:v>중요</x:v>
      </x:c>
      <x:c r="F81" s="9" t="str">
        <x:v>[EXT-02] 실제 복귀 동작과 프로토타입 이동을 분리했는가</x:v>
      </x:c>
      <x:c r="G81" s="9" t="str">
        <x:v>일반 차단의 이전 페이지 없음과 Shorts 제한의 복귀 대상을 각각 검토한다.</x:v>
      </x:c>
      <x:c r="H81" s="9" t="str">
        <x:v>사이트 차단은 안전한 복귀/닫기 안내, Shorts는 일반 YouTube 복귀로 명시하며 상태 데모 버튼을 제품 기능으로 만들지 않는다.</x:v>
      </x:c>
      <x:c r="I81" s="11" t="str">
        <x:v>미점검</x:v>
      </x:c>
      <x:c r="J81" s="11" t="str"/>
      <x:c r="K81" s="11" t="str"/>
      <x:c r="L81" s="12" t="str"/>
      <x:c r="M81" s="11" t="str"/>
      <x:c r="N81" s="9" t="str">
        <x:v>FOCURVE_LowFi_설계.md 255~271,298행</x:v>
      </x:c>
      <x:c r="O81" s="9" t="str">
        <x:f>IF(I81="통과",IF(OR(J81="",K81="",L81="",M81=""),"증거·확인자 보완",IF(J81=K81,"교차 확인 필요","완료")),IF(I81="해당 없음",IF(M81="","제외 사유 필요","범위 제외"),"진행 필요"))</x:f>
        <x:v>진행 필요</x:v>
      </x:c>
    </x:row>
    <x:row r="82" ht="46" customHeight="1">
      <x:c r="A82" s="3" t="str">
        <x:v>U-034</x:v>
      </x:c>
      <x:c r="B82" s="3" t="str">
        <x:v>필수 MVP</x:v>
      </x:c>
      <x:c r="C82" s="3" t="str">
        <x:v>화면 검토</x:v>
      </x:c>
      <x:c r="D82" s="3" t="str">
        <x:v>화면 대응</x:v>
      </x:c>
      <x:c r="E82" s="3" t="str">
        <x:v>중요</x:v>
      </x:c>
      <x:c r="F82" s="3" t="str">
        <x:v>[웹 전체·EXT-01] 좁은 폭에서 주요 정보와 행동을 사용할 수 있는가</x:v>
      </x:c>
      <x:c r="G82" s="3" t="str">
        <x:v>팀이 지원 최소 웹 폭과 팝업 크기를 정하고 긴 목록/정책 설명을 배치한다.</x:v>
      </x:c>
      <x:c r="H82" s="3" t="str">
        <x:v>버튼과 오류 문구가 잘리지 않고 표·두 열 상세의 줄바꿈/스크롤 규칙이 정해진다.</x:v>
      </x:c>
      <x:c r="I82" s="11" t="str">
        <x:v>미점검</x:v>
      </x:c>
      <x:c r="J82" s="11" t="str"/>
      <x:c r="K82" s="11" t="str"/>
      <x:c r="L82" s="12" t="str"/>
      <x:c r="M82" s="11" t="str"/>
      <x:c r="N82" s="3" t="str">
        <x:v>FOCURVE_LowFi_설계.md 118,161,170,188행; 제안 검증</x:v>
      </x:c>
      <x:c r="O82" s="3" t="str">
        <x:f>IF(I82="통과",IF(OR(J82="",K82="",L82="",M82=""),"증거·확인자 보완",IF(J82=K82,"교차 확인 필요","완료")),IF(I82="해당 없음",IF(M82="","제외 사유 필요","범위 제외"),"진행 필요"))</x:f>
        <x:v>진행 필요</x:v>
      </x:c>
    </x:row>
    <x:row r="83" ht="46" customHeight="1">
      <x:c r="A83" s="9" t="str">
        <x:v>U-035</x:v>
      </x:c>
      <x:c r="B83" s="9" t="str">
        <x:v>필수 MVP</x:v>
      </x:c>
      <x:c r="C83" s="9" t="str">
        <x:v>화면 검토</x:v>
      </x:c>
      <x:c r="D83" s="9" t="str">
        <x:v>긴 내용</x:v>
      </x:c>
      <x:c r="E83" s="9" t="str">
        <x:v>보완</x:v>
      </x:c>
      <x:c r="F83" s="9" t="str">
        <x:v>[SITE-01·LOG-01·LOG-02·EXT-01] 긴 도메인·계정명·오류 문구의 줄바꿈을 확인했는가</x:v>
      </x:c>
      <x:c r="G83" s="9" t="str">
        <x:v>긴 호스트명, 한글/영문 이름, 긴 오류 문구를 실제 크기에 대입한다.</x:v>
      </x:c>
      <x:c r="H83" s="9" t="str">
        <x:v>행/카드/팝업을 벗어나지 않고 필요한 전체 정보 접근 방법이 있다.</x:v>
      </x:c>
      <x:c r="I83" s="11" t="str">
        <x:v>미점검</x:v>
      </x:c>
      <x:c r="J83" s="11" t="str"/>
      <x:c r="K83" s="11" t="str"/>
      <x:c r="L83" s="12" t="str"/>
      <x:c r="M83" s="11" t="str"/>
      <x:c r="N83" s="9" t="str">
        <x:v>FOCURVE 화면 설계 v1.0.xlsx 시트1!E5,E8:E9,E12; 제안 검증</x:v>
      </x:c>
      <x:c r="O83" s="9" t="str">
        <x:f>IF(I83="통과",IF(OR(J83="",K83="",L83="",M83=""),"증거·확인자 보완",IF(J83=K83,"교차 확인 필요","완료")),IF(I83="해당 없음",IF(M83="","제외 사유 필요","범위 제외"),"진행 필요"))</x:f>
        <x:v>진행 필요</x:v>
      </x:c>
    </x:row>
    <x:row r="84" ht="46" customHeight="1">
      <x:c r="A84" s="3" t="str">
        <x:v>U-036</x:v>
      </x:c>
      <x:c r="B84" s="3" t="str">
        <x:v>공통</x:v>
      </x:c>
      <x:c r="C84" s="3" t="str">
        <x:v>화면 검토</x:v>
      </x:c>
      <x:c r="D84" s="3" t="str">
        <x:v>키보드 사용</x:v>
      </x:c>
      <x:c r="E84" s="3" t="str">
        <x:v>중요</x:v>
      </x:c>
      <x:c r="F84" s="3" t="str">
        <x:v>[입력폼·확인창] 키보드 순서와 확인창 포커스 복귀를 정했는가</x:v>
      </x:c>
      <x:c r="G84" s="3" t="str">
        <x:v>마우스 없이 입력→첫 오류→수정→저장 및 모달 취소를 따라간다.</x:v>
      </x:c>
      <x:c r="H84" s="3" t="str">
        <x:v>보이는 포커스가 논리적으로 이동하며 모달 취소 후 호출 버튼으로 돌아간다.</x:v>
      </x:c>
      <x:c r="I84" s="11" t="str">
        <x:v>미점검</x:v>
      </x:c>
      <x:c r="J84" s="11" t="str"/>
      <x:c r="K84" s="11" t="str"/>
      <x:c r="L84" s="12" t="str"/>
      <x:c r="M84" s="11" t="str"/>
      <x:c r="N84" s="3" t="str">
        <x:v>FOCURVE 화면 명세 v1.0.xlsx 시트1!E16; SESSION-01 — 웹 집중 세션 화면 명세.xlsx 시트1!D29:E29; 제안 검증</x:v>
      </x:c>
      <x:c r="O84" s="3" t="str">
        <x:f>IF(I84="통과",IF(OR(J84="",K84="",L84="",M84=""),"증거·확인자 보완",IF(J84=K84,"교차 확인 필요","완료")),IF(I84="해당 없음",IF(M84="","제외 사유 필요","범위 제외"),"진행 필요"))</x:f>
        <x:v>진행 필요</x:v>
      </x:c>
    </x:row>
    <x:row r="85" ht="46" customHeight="1">
      <x:c r="A85" s="9" t="str">
        <x:v>U-037</x:v>
      </x:c>
      <x:c r="B85" s="9" t="str">
        <x:v>공통</x:v>
      </x:c>
      <x:c r="C85" s="9" t="str">
        <x:v>화면 검토</x:v>
      </x:c>
      <x:c r="D85" s="9" t="str">
        <x:v>상태 식별</x:v>
      </x:c>
      <x:c r="E85" s="9" t="str">
        <x:v>중요</x:v>
      </x:c>
      <x:c r="F85" s="9" t="str">
        <x:v>색만으로 차단·기록·반복·연결 상태를 전달하지 않는가</x:v>
      </x:c>
      <x:c r="G85" s="9" t="str">
        <x:v>라이트/다크 화면을 흑백으로 가정하고 배지·범례·아이콘 텍스트를 점검한다.</x:v>
      </x:c>
      <x:c r="H85" s="9" t="str">
        <x:v>각 상태와 그래프 계열을 텍스트/기호로 식별할 수 있고 글자와 배경의 가독성을 확인한다.</x:v>
      </x:c>
      <x:c r="I85" s="11" t="str">
        <x:v>미점검</x:v>
      </x:c>
      <x:c r="J85" s="11" t="str"/>
      <x:c r="K85" s="11" t="str"/>
      <x:c r="L85" s="12" t="str"/>
      <x:c r="M85" s="11" t="str"/>
      <x:c r="N85" s="9" t="str">
        <x:v>FOCURVE 화면 설계 v1.0.xlsx 시트1!E4,E8:E10; 제안 검증</x:v>
      </x:c>
      <x:c r="O85" s="9" t="str">
        <x:f>IF(I85="통과",IF(OR(J85="",K85="",L85="",M85=""),"증거·확인자 보완",IF(J85=K85,"교차 확인 필요","완료")),IF(I85="해당 없음",IF(M85="","제외 사유 필요","범위 제외"),"진행 필요"))</x:f>
        <x:v>진행 필요</x:v>
      </x:c>
    </x:row>
    <x:row r="86" ht="46" customHeight="1">
      <x:c r="A86" s="3" t="str">
        <x:v>U-038</x:v>
      </x:c>
      <x:c r="B86" s="3" t="str">
        <x:v>공통</x:v>
      </x:c>
      <x:c r="C86" s="3" t="str">
        <x:v>화면 검토</x:v>
      </x:c>
      <x:c r="D86" s="3" t="str">
        <x:v>디자인 일관성</x:v>
      </x:c>
      <x:c r="E86" s="3" t="str">
        <x:v>중요</x:v>
      </x:c>
      <x:c r="F86" s="3" t="str">
        <x:v>페이지 이름에서 기본/추가 기능과 라이트/다크가 구분된다.</x:v>
      </x:c>
      <x:c r="G86" s="3" t="str">
        <x:v>Figma 페이지와 화면 목록을 나란히 보고 같은 화면의 4가지 버전을 비교한다.</x:v>
      </x:c>
      <x:c r="H86" s="3" t="str">
        <x:v>기본·추가 기능의 채택 범위와 테마 차이가 구별되고 보관본을 현재 기준으로 혼동하지 않는다.</x:v>
      </x:c>
      <x:c r="I86" s="11" t="str">
        <x:v>미점검</x:v>
      </x:c>
      <x:c r="J86" s="11" t="str"/>
      <x:c r="K86" s="11" t="str"/>
      <x:c r="L86" s="12" t="str"/>
      <x:c r="M86" s="11" t="str"/>
      <x:c r="N86" s="3" t="str">
        <x:v>UI 일관성·수치 정합성·개발 수용 기준</x:v>
      </x:c>
      <x:c r="O86" s="3" t="str">
        <x:f>IF(I86="통과",IF(OR(J86="",K86="",L86="",M86=""),"증거·확인자 보완",IF(J86=K86,"교차 확인 필요","완료")),IF(I86="해당 없음",IF(M86="","제외 사유 필요","범위 제외"),"진행 필요"))</x:f>
        <x:v>진행 필요</x:v>
      </x:c>
    </x:row>
    <x:row r="87" ht="46" customHeight="1">
      <x:c r="A87" s="9" t="str">
        <x:v>U-039</x:v>
      </x:c>
      <x:c r="B87" s="9" t="str">
        <x:v>공통</x:v>
      </x:c>
      <x:c r="C87" s="9" t="str">
        <x:v>화면 검토</x:v>
      </x:c>
      <x:c r="D87" s="9" t="str">
        <x:v>디자인 일관성</x:v>
      </x:c>
      <x:c r="E87" s="9" t="str">
        <x:v>중요</x:v>
      </x:c>
      <x:c r="F87" s="9" t="str">
        <x:v>색·글꼴·간격·모서리·그림자의 공통 기준이 있다.</x:v>
      </x:c>
      <x:c r="G87" s="9" t="str">
        <x:v>대시보드·사이트 관리·세션·로그인·확장 팝업의 같은 요소를 비교한다.</x:v>
      </x:c>
      <x:c r="H87" s="9" t="str">
        <x:v>같은 역할에 같은 토큰/컴포넌트를 쓰며 예외의 이유를 적는다. 화면별 임의 스타일이 남지 않는다.</x:v>
      </x:c>
      <x:c r="I87" s="11" t="str">
        <x:v>미점검</x:v>
      </x:c>
      <x:c r="J87" s="11" t="str"/>
      <x:c r="K87" s="11" t="str"/>
      <x:c r="L87" s="12" t="str"/>
      <x:c r="M87" s="11" t="str"/>
      <x:c r="N87" s="9" t="str">
        <x:v>UI 일관성·수치 정합성·개발 수용 기준</x:v>
      </x:c>
      <x:c r="O87" s="9" t="str">
        <x:f>IF(I87="통과",IF(OR(J87="",K87="",L87="",M87=""),"증거·확인자 보완",IF(J87=K87,"교차 확인 필요","완료")),IF(I87="해당 없음",IF(M87="","제외 사유 필요","범위 제외"),"진행 필요"))</x:f>
        <x:v>진행 필요</x:v>
      </x:c>
    </x:row>
    <x:row r="88" ht="46" customHeight="1">
      <x:c r="A88" s="3" t="str">
        <x:v>U-040</x:v>
      </x:c>
      <x:c r="B88" s="3" t="str">
        <x:v>공통</x:v>
      </x:c>
      <x:c r="C88" s="3" t="str">
        <x:v>화면 검토</x:v>
      </x:c>
      <x:c r="D88" s="3" t="str">
        <x:v>디자인 일관성</x:v>
      </x:c>
      <x:c r="E88" s="3" t="str">
        <x:v>중요</x:v>
      </x:c>
      <x:c r="F88" s="3" t="str">
        <x:v>라이트와 다크에서 정보 위계와 상태 의미가 유지된다.</x:v>
      </x:c>
      <x:c r="G88" s="3" t="str">
        <x:v>양 테마에서 제목·본문·보조문구·선택·오류·비활성을 나란히 점검한다.</x:v>
      </x:c>
      <x:c r="H88" s="3" t="str">
        <x:v>본문과 입력값을 읽을 수 있고 오류/선택이 배경에 묻히지 않는다. 테마 변경으로 기능·수치가 바뀌지 않는다.</x:v>
      </x:c>
      <x:c r="I88" s="11" t="str">
        <x:v>미점검</x:v>
      </x:c>
      <x:c r="J88" s="11" t="str"/>
      <x:c r="K88" s="11" t="str"/>
      <x:c r="L88" s="12" t="str"/>
      <x:c r="M88" s="11" t="str"/>
      <x:c r="N88" s="3" t="str">
        <x:v>UI 일관성·수치 정합성·개발 수용 기준</x:v>
      </x:c>
      <x:c r="O88" s="3" t="str">
        <x:f>IF(I88="통과",IF(OR(J88="",K88="",L88="",M88=""),"증거·확인자 보완",IF(J88=K88,"교차 확인 필요","완료")),IF(I88="해당 없음",IF(M88="","제외 사유 필요","범위 제외"),"진행 필요"))</x:f>
        <x:v>진행 필요</x:v>
      </x:c>
    </x:row>
    <x:row r="89" ht="46" customHeight="1">
      <x:c r="A89" s="9" t="str">
        <x:v>U-041</x:v>
      </x:c>
      <x:c r="B89" s="9" t="str">
        <x:v>공통</x:v>
      </x:c>
      <x:c r="C89" s="9" t="str">
        <x:v>화면 검토</x:v>
      </x:c>
      <x:c r="D89" s="9" t="str">
        <x:v>컴포넌트 상태</x:v>
      </x:c>
      <x:c r="E89" s="9" t="str">
        <x:v>중요</x:v>
      </x:c>
      <x:c r="F89" s="9" t="str">
        <x:v>버튼·입력·선택·토글의 주요 상태가 설계되어 있다.</x:v>
      </x:c>
      <x:c r="G89" s="9" t="str">
        <x:v>기본/선택/비활성/포커스/로딩/오류를 컴포넌트와 화면에 대조한다.</x:v>
      </x:c>
      <x:c r="H89" s="9" t="str">
        <x:v>행동 불가 이유와 처리 중 상태가 보이며 상태 변형이 화면마다 동일하다.</x:v>
      </x:c>
      <x:c r="I89" s="11" t="str">
        <x:v>미점검</x:v>
      </x:c>
      <x:c r="J89" s="11" t="str"/>
      <x:c r="K89" s="11" t="str"/>
      <x:c r="L89" s="12" t="str"/>
      <x:c r="M89" s="11" t="str"/>
      <x:c r="N89" s="9" t="str">
        <x:v>UI 일관성·수치 정합성·개발 수용 기준</x:v>
      </x:c>
      <x:c r="O89" s="9" t="str">
        <x:f>IF(I89="통과",IF(OR(J89="",K89="",L89="",M89=""),"증거·확인자 보완",IF(J89=K89,"교차 확인 필요","완료")),IF(I89="해당 없음",IF(M89="","제외 사유 필요","범위 제외"),"진행 필요"))</x:f>
        <x:v>진행 필요</x:v>
      </x:c>
    </x:row>
    <x:row r="90" ht="46" customHeight="1">
      <x:c r="A90" s="3" t="str">
        <x:v>U-042</x:v>
      </x:c>
      <x:c r="B90" s="3" t="str">
        <x:v>공통</x:v>
      </x:c>
      <x:c r="C90" s="3" t="str">
        <x:v>화면 검토</x:v>
      </x:c>
      <x:c r="D90" s="3" t="str">
        <x:v>아이콘·에셋</x:v>
      </x:c>
      <x:c r="E90" s="3" t="str">
        <x:v>중요</x:v>
      </x:c>
      <x:c r="F90" s="3" t="str">
        <x:v>사이트 아이콘의 실패·없음 상태가 있다.</x:v>
      </x:c>
      <x:c r="G90" s="3" t="str">
        <x:v>로고가 있는 사이트, 미등록 아이콘, 로딩 실패, 긴 사이트명을 대입한다.</x:v>
      </x:c>
      <x:c r="H90" s="3" t="str">
        <x:v>동일 크기·정렬을 유지하고 실패 시 기본 아이콘을 쓴다. 정책은 로고 색상이 아닌 별도 문구·표식으로 읽힌다.</x:v>
      </x:c>
      <x:c r="I90" s="11" t="str">
        <x:v>미점검</x:v>
      </x:c>
      <x:c r="J90" s="11" t="str"/>
      <x:c r="K90" s="11" t="str"/>
      <x:c r="L90" s="12" t="str"/>
      <x:c r="M90" s="11" t="str"/>
      <x:c r="N90" s="3" t="str">
        <x:v>UI 일관성·수치 정합성·개발 수용 기준</x:v>
      </x:c>
      <x:c r="O90" s="3" t="str">
        <x:f>IF(I90="통과",IF(OR(J90="",K90="",L90="",M90=""),"증거·확인자 보완",IF(J90=K90,"교차 확인 필요","완료")),IF(I90="해당 없음",IF(M90="","제외 사유 필요","범위 제외"),"진행 필요"))</x:f>
        <x:v>진행 필요</x:v>
      </x:c>
    </x:row>
    <x:row r="91" ht="46" customHeight="1">
      <x:c r="A91" s="9" t="str">
        <x:v>U-043</x:v>
      </x:c>
      <x:c r="B91" s="9" t="str">
        <x:v>공통</x:v>
      </x:c>
      <x:c r="C91" s="9" t="str">
        <x:v>화면 검토</x:v>
      </x:c>
      <x:c r="D91" s="9" t="str">
        <x:v>아이콘·에셋</x:v>
      </x:c>
      <x:c r="E91" s="9" t="str">
        <x:v>중요</x:v>
      </x:c>
      <x:c r="F91" s="9" t="str">
        <x:v>숲 이미지와 장식이 조작과 읽기를 방해하지 않는다.</x:v>
      </x:c>
      <x:c r="G91" s="9" t="str">
        <x:v>사이드바·로그인에서 밝고 어두운 이미지 부분, 좁은 화면을 점검한다.</x:v>
      </x:c>
      <x:c r="H91" s="9" t="str">
        <x:v>문구 대비를 유지하고 이미지가 메뉴·버튼을 가리지 않는다. 이미지가 없어도 핵심 이용이 가능하다.</x:v>
      </x:c>
      <x:c r="I91" s="11" t="str">
        <x:v>미점검</x:v>
      </x:c>
      <x:c r="J91" s="11" t="str"/>
      <x:c r="K91" s="11" t="str"/>
      <x:c r="L91" s="12" t="str"/>
      <x:c r="M91" s="11" t="str"/>
      <x:c r="N91" s="9" t="str">
        <x:v>UI 일관성·수치 정합성·개발 수용 기준</x:v>
      </x:c>
      <x:c r="O91" s="9" t="str">
        <x:f>IF(I91="통과",IF(OR(J91="",K91="",L91="",M91=""),"증거·확인자 보완",IF(J91=K91,"교차 확인 필요","완료")),IF(I91="해당 없음",IF(M91="","제외 사유 필요","범위 제외"),"진행 필요"))</x:f>
        <x:v>진행 필요</x:v>
      </x:c>
    </x:row>
    <x:row r="92" ht="46" customHeight="1">
      <x:c r="A92" s="3" t="str">
        <x:v>U-044</x:v>
      </x:c>
      <x:c r="B92" s="3" t="str">
        <x:v>공통</x:v>
      </x:c>
      <x:c r="C92" s="3" t="str">
        <x:v>화면 검토</x:v>
      </x:c>
      <x:c r="D92" s="3" t="str">
        <x:v>데이터 시각화</x:v>
      </x:c>
      <x:c r="E92" s="3" t="str">
        <x:v>중요</x:v>
      </x:c>
      <x:c r="F92" s="3" t="str">
        <x:v>막대·도넛·카드·목록이 같은 기간과 기준을 쓴다.</x:v>
      </x:c>
      <x:c r="G92" s="3" t="str">
        <x:v>수치 검증 시트의 기준을 대시보드와 통계 프레임에 대입한다.</x:v>
      </x:c>
      <x:c r="H92" s="3" t="str">
        <x:v>전체 접근=첫 접근+반복이며 첫 접근/반복과 차단 유형을 혼동하지 않는다. 분류 도넛은 등록 사이트 수라고 명시한다.</x:v>
      </x:c>
      <x:c r="I92" s="11" t="str">
        <x:v>미점검</x:v>
      </x:c>
      <x:c r="J92" s="11" t="str"/>
      <x:c r="K92" s="11" t="str"/>
      <x:c r="L92" s="12" t="str"/>
      <x:c r="M92" s="11" t="str"/>
      <x:c r="N92" s="3" t="str">
        <x:v>UI 일관성·수치 정합성·개발 수용 기준</x:v>
      </x:c>
      <x:c r="O92" s="3" t="str">
        <x:f>IF(I92="통과",IF(OR(J92="",K92="",L92="",M92=""),"증거·확인자 보완",IF(J92=K92,"교차 확인 필요","완료")),IF(I92="해당 없음",IF(M92="","제외 사유 필요","범위 제외"),"진행 필요"))</x:f>
        <x:v>진행 필요</x:v>
      </x:c>
    </x:row>
    <x:row r="93" ht="46" customHeight="1">
      <x:c r="A93" s="9" t="str">
        <x:v>U-045</x:v>
      </x:c>
      <x:c r="B93" s="9" t="str">
        <x:v>공통</x:v>
      </x:c>
      <x:c r="C93" s="9" t="str">
        <x:v>화면 검토</x:v>
      </x:c>
      <x:c r="D93" s="9" t="str">
        <x:v>데이터 시각화</x:v>
      </x:c>
      <x:c r="E93" s="9" t="str">
        <x:v>중요</x:v>
      </x:c>
      <x:c r="F93" s="9" t="str">
        <x:v>보기 좋게 채운 예시 데이터도 합계가 맞는다.</x:v>
      </x:c>
      <x:c r="G93" s="9" t="str">
        <x:v>막대를 추가한 차트와 랭킹·최근 활동·총합·툴팁을 함께 검산한다.</x:v>
      </x:c>
      <x:c r="H93" s="9" t="str">
        <x:v>동일 기간 데이터가 일치한다. 시각적 밀도를 위해 실제 0건 시간에 임의 접근을 추가하지 않는다.</x:v>
      </x:c>
      <x:c r="I93" s="11" t="str">
        <x:v>미점검</x:v>
      </x:c>
      <x:c r="J93" s="11" t="str"/>
      <x:c r="K93" s="11" t="str"/>
      <x:c r="L93" s="12" t="str"/>
      <x:c r="M93" s="11" t="str"/>
      <x:c r="N93" s="9" t="str">
        <x:v>UI 일관성·수치 정합성·개발 수용 기준</x:v>
      </x:c>
      <x:c r="O93" s="9" t="str">
        <x:f>IF(I93="통과",IF(OR(J93="",K93="",L93="",M93=""),"증거·확인자 보완",IF(J93=K93,"교차 확인 필요","완료")),IF(I93="해당 없음",IF(M93="","제외 사유 필요","범위 제외"),"진행 필요"))</x:f>
        <x:v>진행 필요</x:v>
      </x:c>
    </x:row>
    <x:row r="94" ht="46" customHeight="1">
      <x:c r="A94" s="3" t="str">
        <x:v>T-001</x:v>
      </x:c>
      <x:c r="B94" s="3" t="str">
        <x:v>필수 MVP</x:v>
      </x:c>
      <x:c r="C94" s="3" t="str">
        <x:v>구현 검증</x:v>
      </x:c>
      <x:c r="D94" s="3" t="str">
        <x:v>범위·완료 기준</x:v>
      </x:c>
      <x:c r="E94" s="3" t="str">
        <x:v>중요</x:v>
      </x:c>
      <x:c r="F94" s="3" t="str">
        <x:v>출시 형태에서 실제 제한·기록 확인</x:v>
      </x:c>
      <x:c r="G94" s="3" t="str">
        <x:v>사이트 전체 차단과 Shorts 제한을 배포 가능한 확장 형태로 재현</x:v>
      </x:c>
      <x:c r="H94" s="3" t="str">
        <x:v>정책 매칭만으로 성공 기록하지 않으며 개발 전용 디버그 API에 의존하지 않고 제한 결과·이벤트 연결 증거가 있음</x:v>
      </x:c>
      <x:c r="I94" s="11" t="str">
        <x:v>미점검</x:v>
      </x:c>
      <x:c r="J94" s="11" t="str"/>
      <x:c r="K94" s="11" t="str"/>
      <x:c r="L94" s="12" t="str"/>
      <x:c r="M94" s="11" t="str"/>
      <x:c r="N94" s="3" t="str">
        <x:v>FOCURVE_프로젝트_기획안_v1.0_20260918(2).pdf p.58, 제한 사실 확인과 배포 환경 검증</x:v>
      </x:c>
      <x:c r="O94" s="3" t="str">
        <x:f>IF(I94="통과",IF(OR(J94="",K94="",L94="",M94=""),"증거·확인자 보완",IF(J94=K94,"교차 확인 필요","완료")),IF(I94="해당 없음",IF(M94="","제외 사유 필요","범위 제외"),"진행 필요"))</x:f>
        <x:v>진행 필요</x:v>
      </x:c>
    </x:row>
    <x:row r="95" ht="46" customHeight="1">
      <x:c r="A95" s="9" t="str">
        <x:v>T-002</x:v>
      </x:c>
      <x:c r="B95" s="9" t="str">
        <x:v>필수 MVP</x:v>
      </x:c>
      <x:c r="C95" s="9" t="str">
        <x:v>구현 검증</x:v>
      </x:c>
      <x:c r="D95" s="9" t="str">
        <x:v>범위·완료 기준</x:v>
      </x:c>
      <x:c r="E95" s="9" t="str">
        <x:v>중요</x:v>
      </x:c>
      <x:c r="F95" s="9" t="str">
        <x:v>YouTube 정상 기능 회귀</x:v>
      </x:c>
      <x:c r="G95" s="9" t="str">
        <x:v>Shorts 직접진입/내부이동/새탭/새로고침/뒤로·앞으로/기존탭과 일반영상/검색/로그인 시험</x:v>
      </x:c>
      <x:c r="H95" s="9" t="str">
        <x:v>Shorts 진입·재생은 제한되고 비대상 기능은 정상이며 이벤트가 중복되지 않음</x:v>
      </x:c>
      <x:c r="I95" s="11" t="str">
        <x:v>미점검</x:v>
      </x:c>
      <x:c r="J95" s="11" t="str"/>
      <x:c r="K95" s="11" t="str"/>
      <x:c r="L95" s="12" t="str"/>
      <x:c r="M95" s="11" t="str"/>
      <x:c r="N95" s="9" t="str">
        <x:v>FOCURVE_프로젝트_기획안_v1.0_20260918(2).pdf p.55–56,77, §4.3/§6.2</x:v>
      </x:c>
      <x:c r="O95" s="9" t="str">
        <x:f>IF(I95="통과",IF(OR(J95="",K95="",L95="",M95=""),"증거·확인자 보완",IF(J95=K95,"교차 확인 필요","완료")),IF(I95="해당 없음",IF(M95="","제외 사유 필요","범위 제외"),"진행 필요"))</x:f>
        <x:v>진행 필요</x:v>
      </x:c>
    </x:row>
    <x:row r="96" ht="76" customHeight="1">
      <x:c r="A96" s="3" t="str">
        <x:v>T-003</x:v>
      </x:c>
      <x:c r="B96" s="3" t="str">
        <x:v>필수 MVP</x:v>
      </x:c>
      <x:c r="C96" s="3" t="str">
        <x:v>구현 검증</x:v>
      </x:c>
      <x:c r="D96" s="3" t="str">
        <x:v>범위·완료 기준</x:v>
      </x:c>
      <x:c r="E96" s="3" t="str">
        <x:v>중요</x:v>
      </x:c>
      <x:c r="F96" s="3" t="str">
        <x:v>삭제 이벤트 재유입 방지</x:v>
      </x:c>
      <x:c r="G96" s="3" t="str">
        <x:v>기록삭제→지연 큐 재전송→백업 복구 상황 시험 사이트 삭제는 기록 유지/삭제 정책 합의 후 검증한다. 기록 삭제·회원탈퇴는 각 대상과 기한을 명확히 구별한다.</x:v>
      </x:c>
      <x:c r="H96" s="3" t="str">
        <x:v>삭제 데이터가 조회·통계에 재등장하지 않고 삭제 요청·보관 정책이 적용 사이트 삭제 정책이 미확정이면 해당 판정은 차단됨으로 기록한다.</x:v>
      </x:c>
      <x:c r="I96" s="11" t="str">
        <x:v>미점검</x:v>
      </x:c>
      <x:c r="J96" s="11" t="str"/>
      <x:c r="K96" s="11" t="str"/>
      <x:c r="L96" s="12" t="str"/>
      <x:c r="M96" s="11" t="str"/>
      <x:c r="N96" s="3" t="str">
        <x:v>FOCURVE_프로젝트_기획안_v1.0_20260918(2).pdf p.69–70, 삭제 처리와 통계 정합성</x:v>
      </x:c>
      <x:c r="O96" s="3" t="str">
        <x:f>IF(I96="통과",IF(OR(J96="",K96="",L96="",M96=""),"증거·확인자 보완",IF(J96=K96,"교차 확인 필요","완료")),IF(I96="해당 없음",IF(M96="","제외 사유 필요","범위 제외"),"진행 필요"))</x:f>
        <x:v>진행 필요</x:v>
      </x:c>
    </x:row>
    <x:row r="97" ht="46" customHeight="1">
      <x:c r="A97" s="9" t="str">
        <x:v>T-004</x:v>
      </x:c>
      <x:c r="B97" s="9" t="str">
        <x:v>필수 MVP</x:v>
      </x:c>
      <x:c r="C97" s="9" t="str">
        <x:v>구현 검증</x:v>
      </x:c>
      <x:c r="D97" s="9" t="str">
        <x:v>범위·완료 기준</x:v>
      </x:c>
      <x:c r="E97" s="9" t="str">
        <x:v>중요</x:v>
      </x:c>
      <x:c r="F97" s="9" t="str">
        <x:v>과제별 성공률 측정</x:v>
      </x:c>
      <x:c r="G97" s="9" t="str">
        <x:v>5명×5과제의 실제 수행 결과 수집</x:v>
      </x:c>
      <x:c r="H97" s="9" t="str">
        <x:v>전체20/25이상 AND 모든 과제4/5이상; 기준미달 항목 수정후 같은기준 재검증</x:v>
      </x:c>
      <x:c r="I97" s="11" t="str">
        <x:v>미점검</x:v>
      </x:c>
      <x:c r="J97" s="11" t="str"/>
      <x:c r="K97" s="11" t="str"/>
      <x:c r="L97" s="12" t="str"/>
      <x:c r="M97" s="11" t="str"/>
      <x:c r="N97" s="9" t="str">
        <x:v>FOCURVE_프로젝트_기획안_v1.0_20260918(2).pdf p.84–86,88, §6.5/완료 기준</x:v>
      </x:c>
      <x:c r="O97" s="9" t="str">
        <x:f>IF(I97="통과",IF(OR(J97="",K97="",L97="",M97=""),"증거·확인자 보완",IF(J97=K97,"교차 확인 필요","완료")),IF(I97="해당 없음",IF(M97="","제외 사유 필요","범위 제외"),"진행 필요"))</x:f>
        <x:v>진행 필요</x:v>
      </x:c>
    </x:row>
    <x:row r="98" ht="46" customHeight="1">
      <x:c r="A98" s="3" t="str">
        <x:v>T-005</x:v>
      </x:c>
      <x:c r="B98" s="3" t="str">
        <x:v>필수 MVP</x:v>
      </x:c>
      <x:c r="C98" s="3" t="str">
        <x:v>구현 검증</x:v>
      </x:c>
      <x:c r="D98" s="3" t="str">
        <x:v>범위·완료 기준</x:v>
      </x:c>
      <x:c r="E98" s="3" t="str">
        <x:v>중요</x:v>
      </x:c>
      <x:c r="F98" s="3" t="str">
        <x:v>개념 이해·기록 활용</x:v>
      </x:c>
      <x:c r="G98" s="3" t="str">
        <x:v>분류/차단·기록·기능제한/반복을 자신의 말로 설명하고 기록을 근거로 다음설정 변경</x:v>
      </x:c>
      <x:c r="H98" s="3" t="str">
        <x:v>개념이해4/5이상 AND 기록활용4/5이상; 참여자 설명·변경이유·저장결과 확보</x:v>
      </x:c>
      <x:c r="I98" s="11" t="str">
        <x:v>미점검</x:v>
      </x:c>
      <x:c r="J98" s="11" t="str"/>
      <x:c r="K98" s="11" t="str"/>
      <x:c r="L98" s="12" t="str"/>
      <x:c r="M98" s="11" t="str"/>
      <x:c r="N98" s="3" t="str">
        <x:v>FOCURVE_프로젝트_기획안_v1.0_20260918(2).pdf p.84–86, §6.5</x:v>
      </x:c>
      <x:c r="O98" s="3" t="str">
        <x:f>IF(I98="통과",IF(OR(J98="",K98="",L98="",M98=""),"증거·확인자 보완",IF(J98=K98,"교차 확인 필요","완료")),IF(I98="해당 없음",IF(M98="","제외 사유 필요","범위 제외"),"진행 필요"))</x:f>
        <x:v>진행 필요</x:v>
      </x:c>
    </x:row>
    <x:row r="99" ht="46" customHeight="1">
      <x:c r="A99" s="9" t="str">
        <x:v>T-006</x:v>
      </x:c>
      <x:c r="B99" s="9" t="str">
        <x:v>필수 MVP</x:v>
      </x:c>
      <x:c r="C99" s="9" t="str">
        <x:v>구현 검증</x:v>
      </x:c>
      <x:c r="D99" s="9" t="str">
        <x:v>범위·완료 기준</x:v>
      </x:c>
      <x:c r="E99" s="9" t="str">
        <x:v>중요</x:v>
      </x:c>
      <x:c r="F99" s="9" t="str">
        <x:v>기능·통합·통계·오류 완료 게이트</x:v>
      </x:c>
      <x:c r="G99" s="9" t="str">
        <x:v>동일 최종빌드로 필수시나리오와 문제목록 대조</x:v>
      </x:c>
      <x:c r="H99" s="9" t="str">
        <x:v>필수기능/통합/접근통제 통과, 통계100%, 사용자 기준 충족, 미해결P0/P1각0; P2 영향/우회/담당/일정 기록</x:v>
      </x:c>
      <x:c r="I99" s="11" t="str">
        <x:v>미점검</x:v>
      </x:c>
      <x:c r="J99" s="11" t="str"/>
      <x:c r="K99" s="11" t="str"/>
      <x:c r="L99" s="12" t="str"/>
      <x:c r="M99" s="11" t="str"/>
      <x:c r="N99" s="9" t="str">
        <x:v>FOCURVE_프로젝트_기획안_v1.0_20260918(2).pdf p.87–88, §6.6</x:v>
      </x:c>
      <x:c r="O99" s="9" t="str">
        <x:f>IF(I99="통과",IF(OR(J99="",K99="",L99="",M99=""),"증거·확인자 보완",IF(J99=K99,"교차 확인 필요","완료")),IF(I99="해당 없음",IF(M99="","제외 사유 필요","범위 제외"),"진행 필요"))</x:f>
        <x:v>진행 필요</x:v>
      </x:c>
    </x:row>
    <x:row r="100" ht="46" customHeight="1">
      <x:c r="A100" s="3" t="str">
        <x:v>T-007</x:v>
      </x:c>
      <x:c r="B100" s="3" t="str">
        <x:v>Desktop</x:v>
      </x:c>
      <x:c r="C100" s="3" t="str">
        <x:v>구현 검증</x:v>
      </x:c>
      <x:c r="D100" s="3" t="str">
        <x:v>Desktop·확장</x:v>
      </x:c>
      <x:c r="E100" s="3" t="str">
        <x:v>중요</x:v>
      </x:c>
      <x:c r="F100" s="3" t="str">
        <x:v>Windows 실행 감지·종료 PoC</x:v>
      </x:c>
      <x:c r="G100" s="3" t="str">
        <x:v>사용자지정 앱 실행→탐지→제한→결과기록 및 권한오류 시험</x:v>
      </x:c>
      <x:c r="H100" s="3" t="str">
        <x:v>Windows지원환경·권한·식별방식·실패/복구·이벤트 분리 정의, 지정하지 않은 앱/시스템은 건드리지 않음</x:v>
      </x:c>
      <x:c r="I100" s="11" t="str">
        <x:v>미점검</x:v>
      </x:c>
      <x:c r="J100" s="11" t="str"/>
      <x:c r="K100" s="11" t="str"/>
      <x:c r="L100" s="12" t="str"/>
      <x:c r="M100" s="11" t="str"/>
      <x:c r="N100" s="3" t="str">
        <x:v>FOCURVE_프로젝트_기획안_v1.0_20260918(2).pdf p.47,49, §2.11/§3.2</x:v>
      </x:c>
      <x:c r="O100" s="3" t="str">
        <x:f>IF(I100="통과",IF(OR(J100="",K100="",L100="",M100=""),"증거·확인자 보완",IF(J100=K100,"교차 확인 필요","완료")),IF(I100="해당 없음",IF(M100="","제외 사유 필요","범위 제외"),"진행 필요"))</x:f>
        <x:v>진행 필요</x:v>
      </x:c>
    </x:row>
    <x:row r="101" ht="46" customHeight="1">
      <x:c r="A101" s="9" t="str">
        <x:v>T-008</x:v>
      </x:c>
      <x:c r="B101" s="9" t="str">
        <x:v>Desktop</x:v>
      </x:c>
      <x:c r="C101" s="9" t="str">
        <x:v>구현 검증</x:v>
      </x:c>
      <x:c r="D101" s="9" t="str">
        <x:v>Desktop·확장</x:v>
      </x:c>
      <x:c r="E101" s="9" t="str">
        <x:v>중요</x:v>
      </x:c>
      <x:c r="F101" s="9" t="str">
        <x:v>Desktop 관리 흐름 통합</x:v>
      </x:c>
      <x:c r="G101" s="9" t="str">
        <x:v>앱등록→세션연동→실행감지→이용제한→이벤트저장/전송→Web조회 반복</x:v>
      </x:c>
      <x:c r="H101" s="9" t="str">
        <x:v>기존서비스 연동 재현, 웹접근과 앱실행 통계 혼합 안함, 필수MVP와 별도 결과표</x:v>
      </x:c>
      <x:c r="I101" s="11" t="str">
        <x:v>미점검</x:v>
      </x:c>
      <x:c r="J101" s="11" t="str"/>
      <x:c r="K101" s="11" t="str"/>
      <x:c r="L101" s="12" t="str"/>
      <x:c r="M101" s="11" t="str"/>
      <x:c r="N101" s="9" t="str">
        <x:v>FOCURVE_프로젝트_기획안_v1.0_20260918(2).pdf p.117–120, Desktop 통합/완료/산출물</x:v>
      </x:c>
      <x:c r="O101" s="9" t="str">
        <x:f>IF(I101="통과",IF(OR(J101="",K101="",L101="",M101=""),"증거·확인자 보완",IF(J101=K101,"교차 확인 필요","완료")),IF(I101="해당 없음",IF(M101="","제외 사유 필요","범위 제외"),"진행 필요"))</x:f>
        <x:v>진행 필요</x:v>
      </x:c>
    </x:row>
    <x:row r="102" ht="46" customHeight="1">
      <x:c r="A102" s="3" t="str">
        <x:v>T-009</x:v>
      </x:c>
      <x:c r="B102" s="3" t="str">
        <x:v>공통</x:v>
      </x:c>
      <x:c r="C102" s="3" t="str">
        <x:v>구현 검증</x:v>
      </x:c>
      <x:c r="D102" s="3" t="str">
        <x:v>범위·완료 기준</x:v>
      </x:c>
      <x:c r="E102" s="3" t="str">
        <x:v>중요</x:v>
      </x:c>
      <x:c r="F102" s="3" t="str">
        <x:v>최종 설명과 구현 범위 일치</x:v>
      </x:c>
      <x:c r="G102" s="3" t="str">
        <x:v>PPT·스토어·사용자안내·권한·데이터처리를 실제 빌드와 대조</x:v>
      </x:c>
      <x:c r="H102" s="3" t="str">
        <x:v>미구현 선택·모바일·강제보호를 지원으로 과장하지 않음, 필수/PC/선택/제외 명확, P0/P1 미해결없음</x:v>
      </x:c>
      <x:c r="I102" s="11" t="str">
        <x:v>미점검</x:v>
      </x:c>
      <x:c r="J102" s="11" t="str"/>
      <x:c r="K102" s="11" t="str"/>
      <x:c r="L102" s="12" t="str"/>
      <x:c r="M102" s="11" t="str"/>
      <x:c r="N102" s="3" t="str">
        <x:v>FOCURVE_프로젝트_기획안_v1.0_20260918(2).pdf p.119,121,130, 범위문서/배포보류</x:v>
      </x:c>
      <x:c r="O102" s="3" t="str">
        <x:f>IF(I102="통과",IF(OR(J102="",K102="",L102="",M102=""),"증거·확인자 보완",IF(J102=K102,"교차 확인 필요","완료")),IF(I102="해당 없음",IF(M102="","제외 사유 필요","범위 제외"),"진행 필요"))</x:f>
        <x:v>진행 필요</x:v>
      </x:c>
    </x:row>
    <x:row r="103" ht="46" customHeight="1">
      <x:c r="A103" s="9" t="str">
        <x:v>T-010</x:v>
      </x:c>
      <x:c r="B103" s="9" t="str">
        <x:v>시연</x:v>
      </x:c>
      <x:c r="C103" s="9" t="str">
        <x:v>구현 검증</x:v>
      </x:c>
      <x:c r="D103" s="9" t="str">
        <x:v>범위·완료 기준</x:v>
      </x:c>
      <x:c r="E103" s="9" t="str">
        <x:v>중요</x:v>
      </x:c>
      <x:c r="F103" s="9" t="str">
        <x:v>시연 연속 성공 및 평가 폼</x:v>
      </x:c>
      <x:c r="G103" s="9" t="str">
        <x:v>고정시연 환경 연속3회, QR/링크/응답저장/내보내기 실행</x:v>
      </x:c>
      <x:c r="H103" s="9" t="str">
        <x:v>핵심시연연속3회성공, 시연범위 P0/P1=0, 평가폼 정상, 공지된 발표시간 내 리허설</x:v>
      </x:c>
      <x:c r="I103" s="11" t="str">
        <x:v>미점검</x:v>
      </x:c>
      <x:c r="J103" s="11" t="str"/>
      <x:c r="K103" s="11" t="str"/>
      <x:c r="L103" s="12" t="str"/>
      <x:c r="M103" s="11" t="str"/>
      <x:c r="N103" s="9" t="str">
        <x:v>FOCURVE_프로젝트_기획안_v1.0_20260918(2).pdf p.118, 2026년 추계 발표 완료 기준</x:v>
      </x:c>
      <x:c r="O103" s="9" t="str">
        <x:f>IF(I103="통과",IF(OR(J103="",K103="",L103="",M103=""),"증거·확인자 보완",IF(J103=K103,"교차 확인 필요","완료")),IF(I103="해당 없음",IF(M103="","제외 사유 필요","범위 제외"),"진행 필요"))</x:f>
        <x:v>진행 필요</x:v>
      </x:c>
    </x:row>
    <x:row r="104" ht="46" customHeight="1">
      <x:c r="A104" s="3" t="str">
        <x:v>T-011</x:v>
      </x:c>
      <x:c r="B104" s="3" t="str">
        <x:v>필수 MVP</x:v>
      </x:c>
      <x:c r="C104" s="3" t="str">
        <x:v>구현 검증</x:v>
      </x:c>
      <x:c r="D104" s="3" t="str">
        <x:v>회원·비회원</x:v>
      </x:c>
      <x:c r="E104" s="3" t="str">
        <x:v>선결</x:v>
      </x:c>
      <x:c r="F104" s="3" t="str">
        <x:v>웹 직접 로그인과 확장 진입 로그인의 복귀가 구분된다.</x:v>
      </x:c>
      <x:c r="G104" s="3" t="str">
        <x:v>각 경로로 인증 성공·취소·실패·확장 연결 실패를 따라가 본다.</x:v>
      </x:c>
      <x:c r="H104" s="3" t="str">
        <x:v>웹 진입은 웹으로, 확장 진입은 연결 확인 후 확장으로 이어지며 웹 인증만으로 연결 성공을 표시하지 않는다.</x:v>
      </x:c>
      <x:c r="I104" s="11" t="str">
        <x:v>미점검</x:v>
      </x:c>
      <x:c r="J104" s="11" t="str"/>
      <x:c r="K104" s="11" t="str"/>
      <x:c r="L104" s="12" t="str"/>
      <x:c r="M104" s="11" t="str"/>
      <x:c r="N104" s="3" t="str">
        <x:v>FOCURVE_Task_Flow_v1.0 (1).md 660~704행</x:v>
      </x:c>
      <x:c r="O104" s="3" t="str">
        <x:f>IF(I104="통과",IF(OR(J104="",K104="",L104="",M104=""),"증거·확인자 보완",IF(J104=K104,"교차 확인 필요","완료")),IF(I104="해당 없음",IF(M104="","제외 사유 필요","범위 제외"),"진행 필요"))</x:f>
        <x:v>진행 필요</x:v>
      </x:c>
    </x:row>
    <x:row r="105" ht="46" customHeight="1">
      <x:c r="A105" s="9" t="str">
        <x:v>T-012</x:v>
      </x:c>
      <x:c r="B105" s="9" t="str">
        <x:v>필수 MVP</x:v>
      </x:c>
      <x:c r="C105" s="9" t="str">
        <x:v>구현 검증</x:v>
      </x:c>
      <x:c r="D105" s="9" t="str">
        <x:v>회원·비회원</x:v>
      </x:c>
      <x:c r="E105" s="9" t="str">
        <x:v>선결</x:v>
      </x:c>
      <x:c r="F105" s="9" t="str">
        <x:v>비회원이 웹 로그인 없이 집중과 결과 확인을 마친다.</x:v>
      </x:c>
      <x:c r="G105" s="9" t="str">
        <x:v>EXT-01에서 비회원 시작→사이트 설정→세션→로컬 결과→다음 설정을 수행한다.</x:v>
      </x:c>
      <x:c r="H105" s="9" t="str">
        <x:v>로그인과 웹 대시보드가 필수 경유지가 아니며 서버에 자동 업로드하지 않는다.</x:v>
      </x:c>
      <x:c r="I105" s="11" t="str">
        <x:v>미점검</x:v>
      </x:c>
      <x:c r="J105" s="11" t="str"/>
      <x:c r="K105" s="11" t="str"/>
      <x:c r="L105" s="12" t="str"/>
      <x:c r="M105" s="11" t="str"/>
      <x:c r="N105" s="9" t="str">
        <x:v>FOCURVE_User_Flow_v1.1 (1).md 13~17,152~158행</x:v>
      </x:c>
      <x:c r="O105" s="9" t="str">
        <x:f>IF(I105="통과",IF(OR(J105="",K105="",L105="",M105=""),"증거·확인자 보완",IF(J105=K105,"교차 확인 필요","완료")),IF(I105="해당 없음",IF(M105="","제외 사유 필요","범위 제외"),"진행 필요"))</x:f>
        <x:v>진행 필요</x:v>
      </x:c>
    </x:row>
    <x:row r="106" ht="46" customHeight="1">
      <x:c r="A106" s="3" t="str">
        <x:v>T-013</x:v>
      </x:c>
      <x:c r="B106" s="3" t="str">
        <x:v>필수 MVP</x:v>
      </x:c>
      <x:c r="C106" s="3" t="str">
        <x:v>구현 검증</x:v>
      </x:c>
      <x:c r="D106" s="3" t="str">
        <x:v>회원·비회원</x:v>
      </x:c>
      <x:c r="E106" s="3" t="str">
        <x:v>선결</x:v>
      </x:c>
      <x:c r="F106" s="3" t="str">
        <x:v>회원 인증 만료를 비회원 전환으로 처리하지 않는다.</x:v>
      </x:c>
      <x:c r="G106" s="3" t="str">
        <x:v>설정 저장·세션 시작·동기화 중 인증 만료 상황을 가정한다.</x:v>
      </x:c>
      <x:c r="H106" s="3" t="str">
        <x:v>현재 자료 소유권은 유지하고 재인증을 안내하며 비회원 세션이나 잘못된 소유 이벤트를 만들지 않는다.</x:v>
      </x:c>
      <x:c r="I106" s="11" t="str">
        <x:v>미점검</x:v>
      </x:c>
      <x:c r="J106" s="11" t="str"/>
      <x:c r="K106" s="11" t="str"/>
      <x:c r="L106" s="12" t="str"/>
      <x:c r="M106" s="11" t="str"/>
      <x:c r="N106" s="3" t="str">
        <x:v>FOCURVE_Task_Flow_v1.0 (1).md 47,309행</x:v>
      </x:c>
      <x:c r="O106" s="3" t="str">
        <x:f>IF(I106="통과",IF(OR(J106="",K106="",L106="",M106=""),"증거·확인자 보완",IF(J106=K106,"교차 확인 필요","완료")),IF(I106="해당 없음",IF(M106="","제외 사유 필요","범위 제외"),"진행 필요"))</x:f>
        <x:v>진행 필요</x:v>
      </x:c>
    </x:row>
    <x:row r="107" ht="46" customHeight="1">
      <x:c r="A107" s="9" t="str">
        <x:v>T-014</x:v>
      </x:c>
      <x:c r="B107" s="9" t="str">
        <x:v>필수 MVP</x:v>
      </x:c>
      <x:c r="C107" s="9" t="str">
        <x:v>구현 검증</x:v>
      </x:c>
      <x:c r="D107" s="9" t="str">
        <x:v>회원·비회원</x:v>
      </x:c>
      <x:c r="E107" s="9" t="str">
        <x:v>선결</x:v>
      </x:c>
      <x:c r="F107" s="9" t="str">
        <x:v>진행 중 비회원 세션의 계정 전환 시점을 지킨다.</x:v>
      </x:c>
      <x:c r="G107" s="9" t="str">
        <x:v>비회원 세션 진행 중 웹 로그인 성공/취소를 각각 수행한다.</x:v>
      </x:c>
      <x:c r="H107" s="9" t="str">
        <x:v>진행 세션은 비회원 소유로 유지되고 종료·해제 확인 후 명시적 이전 선택을 수행한다.</x:v>
      </x:c>
      <x:c r="I107" s="11" t="str">
        <x:v>미점검</x:v>
      </x:c>
      <x:c r="J107" s="11" t="str"/>
      <x:c r="K107" s="11" t="str"/>
      <x:c r="L107" s="12" t="str"/>
      <x:c r="M107" s="11" t="str"/>
      <x:c r="N107" s="9" t="str">
        <x:v>FOCURVE_User_Flow_v1.1 (1).md 100,159행</x:v>
      </x:c>
      <x:c r="O107" s="9" t="str">
        <x:f>IF(I107="통과",IF(OR(J107="",K107="",L107="",M107=""),"증거·확인자 보완",IF(J107=K107,"교차 확인 필요","완료")),IF(I107="해당 없음",IF(M107="","제외 사유 필요","범위 제외"),"진행 필요"))</x:f>
        <x:v>진행 필요</x:v>
      </x:c>
    </x:row>
    <x:row r="108" ht="46" customHeight="1">
      <x:c r="A108" s="3" t="str">
        <x:v>T-015</x:v>
      </x:c>
      <x:c r="B108" s="3" t="str">
        <x:v>필수 MVP</x:v>
      </x:c>
      <x:c r="C108" s="3" t="str">
        <x:v>구현 검증</x:v>
      </x:c>
      <x:c r="D108" s="3" t="str">
        <x:v>설정·정책</x:v>
      </x:c>
      <x:c r="E108" s="3" t="str">
        <x:v>선결</x:v>
      </x:c>
      <x:c r="F108" s="3" t="str">
        <x:v>호스트 정규화와 포함 범위 중복을 검사한다.</x:v>
      </x:c>
      <x:c r="G108" s="3" t="str">
        <x:v>https://example.com/a?x=1, example.com, www.example.com, 하위 포함 on/off를 조합한다.</x:v>
      </x:c>
      <x:c r="H108" s="3" t="str">
        <x:v>계획된 규칙대로 호스트·범위를 표시하고 동일/포함 중복을 막으며 경로·쿼리는 등록 호스트에 남기지 않는다.</x:v>
      </x:c>
      <x:c r="I108" s="11" t="str">
        <x:v>미점검</x:v>
      </x:c>
      <x:c r="J108" s="11" t="str"/>
      <x:c r="K108" s="11" t="str"/>
      <x:c r="L108" s="12" t="str"/>
      <x:c r="M108" s="11" t="str"/>
      <x:c r="N108" s="3" t="str">
        <x:v>FOCURVE_Task_Flow_v1.0 (1).md 40,101~102행</x:v>
      </x:c>
      <x:c r="O108" s="3" t="str">
        <x:f>IF(I108="통과",IF(OR(J108="",K108="",L108="",M108=""),"증거·확인자 보완",IF(J108=K108,"교차 확인 필요","완료")),IF(I108="해당 없음",IF(M108="","제외 사유 필요","범위 제외"),"진행 필요"))</x:f>
        <x:v>진행 필요</x:v>
      </x:c>
    </x:row>
    <x:row r="109" ht="46" customHeight="1">
      <x:c r="A109" s="9" t="str">
        <x:v>T-016</x:v>
      </x:c>
      <x:c r="B109" s="9" t="str">
        <x:v>필수 MVP</x:v>
      </x:c>
      <x:c r="C109" s="9" t="str">
        <x:v>구현 검증</x:v>
      </x:c>
      <x:c r="D109" s="9" t="str">
        <x:v>설정·정책</x:v>
      </x:c>
      <x:c r="E109" s="9" t="str">
        <x:v>선결</x:v>
      </x:c>
      <x:c r="F109" s="9" t="str">
        <x:v>목적 분류와 차단·기록 정책을 분리한다.</x:v>
      </x:c>
      <x:c r="G109" s="9" t="str">
        <x:v>집중·방해·일반 각각의 저장값과 미리보기 문구를 확인한다.</x:v>
      </x:c>
      <x:c r="H109" s="9" t="str">
        <x:v>방해는 전체 차단/기록을 선택하고 집중·일반은 기본 허용이다. 분류를 차단 상태처럼 표시하지 않는다.</x:v>
      </x:c>
      <x:c r="I109" s="11" t="str">
        <x:v>미점검</x:v>
      </x:c>
      <x:c r="J109" s="11" t="str"/>
      <x:c r="K109" s="11" t="str"/>
      <x:c r="L109" s="12" t="str"/>
      <x:c r="M109" s="11" t="str"/>
      <x:c r="N109" s="9" t="str">
        <x:v>FOCURVE_Task_Flow_v1.0 (1).md 247~249행</x:v>
      </x:c>
      <x:c r="O109" s="9" t="str">
        <x:f>IF(I109="통과",IF(OR(J109="",K109="",L109="",M109=""),"증거·확인자 보완",IF(J109=K109,"교차 확인 필요","완료")),IF(I109="해당 없음",IF(M109="","제외 사유 필요","범위 제외"),"진행 필요"))</x:f>
        <x:v>진행 필요</x:v>
      </x:c>
    </x:row>
    <x:row r="110" ht="46" customHeight="1">
      <x:c r="A110" s="3" t="str">
        <x:v>T-017</x:v>
      </x:c>
      <x:c r="B110" s="3" t="str">
        <x:v>필수 MVP</x:v>
      </x:c>
      <x:c r="C110" s="3" t="str">
        <x:v>구현 검증</x:v>
      </x:c>
      <x:c r="D110" s="3" t="str">
        <x:v>설정·정책</x:v>
      </x:c>
      <x:c r="E110" s="3" t="str">
        <x:v>선결</x:v>
      </x:c>
      <x:c r="F110" s="3" t="str">
        <x:v>전체 사이트 차단과 Shorts 제한의 우선순위를 확인한다.</x:v>
      </x:c>
      <x:c r="G110" s="3" t="str">
        <x:v>YouTube 전체 차단과 Shorts 제한을 동시에 설정한 뒤 Shorts 접근을 처리한다.</x:v>
      </x:c>
      <x:c r="H110" s="3" t="str">
        <x:v>사이트 전체 차단 이벤트 한 건만 남고 Shorts 이벤트나 두 번째 접근을 추가하지 않는다.</x:v>
      </x:c>
      <x:c r="I110" s="11" t="str">
        <x:v>미점검</x:v>
      </x:c>
      <x:c r="J110" s="11" t="str"/>
      <x:c r="K110" s="11" t="str"/>
      <x:c r="L110" s="12" t="str"/>
      <x:c r="M110" s="11" t="str"/>
      <x:c r="N110" s="3" t="str">
        <x:v>FOCURVE_Event_Schema_v1.0(1).md 25~30,128~134행</x:v>
      </x:c>
      <x:c r="O110" s="3" t="str">
        <x:f>IF(I110="통과",IF(OR(J110="",K110="",L110="",M110=""),"증거·확인자 보완",IF(J110=K110,"교차 확인 필요","완료")),IF(I110="해당 없음",IF(M110="","제외 사유 필요","범위 제외"),"진행 필요"))</x:f>
        <x:v>진행 필요</x:v>
      </x:c>
    </x:row>
    <x:row r="111" ht="61" customHeight="1">
      <x:c r="A111" s="9" t="str">
        <x:v>T-018</x:v>
      </x:c>
      <x:c r="B111" s="9" t="str">
        <x:v>필수 MVP</x:v>
      </x:c>
      <x:c r="C111" s="9" t="str">
        <x:v>구현 검증</x:v>
      </x:c>
      <x:c r="D111" s="9" t="str">
        <x:v>설정·정책</x:v>
      </x:c>
      <x:c r="E111" s="9" t="str">
        <x:v>선결</x:v>
      </x:c>
      <x:c r="F111" s="9" t="str">
        <x:v>설정 수정과 사이트 삭제를 각각 합의된 정책으로 처리한다.</x:v>
      </x:c>
      <x:c r="G111" s="9" t="str">
        <x:v>일반 정책 수정은 다음 세션 반영과 과거 스냅샷 보존을 확인한다. 사이트 삭제는 결정할 사항의 삭제 정책 확정 후 별도 시험한다.</x:v>
      </x:c>
      <x:c r="H111" s="9" t="str">
        <x:v>정책 수정이 진행 세션·과거 의미를 임의 변경하지 않는다. 삭제 후 이벤트 유지/삭제는 팀의 확정 규칙과 일치한다. 충돌 미해결이면 차단됨으로 기록한다.</x:v>
      </x:c>
      <x:c r="I111" s="11" t="str">
        <x:v>미점검</x:v>
      </x:c>
      <x:c r="J111" s="11" t="str"/>
      <x:c r="K111" s="11" t="str"/>
      <x:c r="L111" s="12" t="str"/>
      <x:c r="M111" s="11" t="str"/>
      <x:c r="N111" s="9" t="str">
        <x:v>FOCURVE_Task_Flow_v1.0 (1).md 42,154~156,194~196행; FOCURVE_프로젝트_기획안_v1.0_20260918(2).pdf p.70 (삭제 정책 충돌)</x:v>
      </x:c>
      <x:c r="O111" s="9" t="str">
        <x:f>IF(I111="통과",IF(OR(J111="",K111="",L111="",M111=""),"증거·확인자 보완",IF(J111=K111,"교차 확인 필요","완료")),IF(I111="해당 없음",IF(M111="","제외 사유 필요","범위 제외"),"진행 필요"))</x:f>
        <x:v>진행 필요</x:v>
      </x:c>
    </x:row>
    <x:row r="112" ht="46" customHeight="1">
      <x:c r="A112" s="3" t="str">
        <x:v>T-019</x:v>
      </x:c>
      <x:c r="B112" s="3" t="str">
        <x:v>필수 MVP</x:v>
      </x:c>
      <x:c r="C112" s="3" t="str">
        <x:v>구현 검증</x:v>
      </x:c>
      <x:c r="D112" s="3" t="str">
        <x:v>세션 생명주기</x:v>
      </x:c>
      <x:c r="E112" s="3" t="str">
        <x:v>선결</x:v>
      </x:c>
      <x:c r="F112" s="3" t="str">
        <x:v>시작 성공은 실제 정책 적용과 상태 저장 뒤 표시한다.</x:v>
      </x:c>
      <x:c r="G112" s="3" t="str">
        <x:v>시작 버튼→서버 접수→일부 정책 적용→전체 적용 및 영속 저장 순서를 검토한다.</x:v>
      </x:c>
      <x:c r="H112" s="3" t="str">
        <x:v>확인 전에는 시작 처리 중이며 성공 확인 뒤 타이머와 SESSION_STARTED를 각각 한 번 생성한다.</x:v>
      </x:c>
      <x:c r="I112" s="11" t="str">
        <x:v>미점검</x:v>
      </x:c>
      <x:c r="J112" s="11" t="str"/>
      <x:c r="K112" s="11" t="str"/>
      <x:c r="L112" s="12" t="str"/>
      <x:c r="M112" s="11" t="str"/>
      <x:c r="N112" s="3" t="str">
        <x:v>FOCURVE_Event_Schema_v1.0(1).md 191~198행</x:v>
      </x:c>
      <x:c r="O112" s="3" t="str">
        <x:f>IF(I112="통과",IF(OR(J112="",K112="",L112="",M112=""),"증거·확인자 보완",IF(J112=K112,"교차 확인 필요","완료")),IF(I112="해당 없음",IF(M112="","제외 사유 필요","범위 제외"),"진행 필요"))</x:f>
        <x:v>진행 필요</x:v>
      </x:c>
    </x:row>
    <x:row r="113" ht="46" customHeight="1">
      <x:c r="A113" s="9" t="str">
        <x:v>T-020</x:v>
      </x:c>
      <x:c r="B113" s="9" t="str">
        <x:v>필수 MVP</x:v>
      </x:c>
      <x:c r="C113" s="9" t="str">
        <x:v>구현 검증</x:v>
      </x:c>
      <x:c r="D113" s="9" t="str">
        <x:v>세션 생명주기</x:v>
      </x:c>
      <x:c r="E113" s="9" t="str">
        <x:v>선결</x:v>
      </x:c>
      <x:c r="F113" s="9" t="str">
        <x:v>시작 중복 클릭과 응답 유실이 다중 세션을 만들지 않는다.</x:v>
      </x:c>
      <x:c r="G113" s="9" t="str">
        <x:v>웹과 팝업의 동시 시작, 반복 클릭, 시작 응답 유실 후 재시도를 수행한다.</x:v>
      </x:c>
      <x:c r="H113" s="9" t="str">
        <x:v>정한 단일 실행 주체/활성 세션 기준에 따라 한 세션만 활성화되고 기존 요청 결과를 조회한다.</x:v>
      </x:c>
      <x:c r="I113" s="11" t="str">
        <x:v>미점검</x:v>
      </x:c>
      <x:c r="J113" s="11" t="str"/>
      <x:c r="K113" s="11" t="str"/>
      <x:c r="L113" s="12" t="str"/>
      <x:c r="M113" s="11" t="str"/>
      <x:c r="N113" s="9" t="str">
        <x:v>FOCURVE_Task_Flow_v1.0 (1).md 264~308행</x:v>
      </x:c>
      <x:c r="O113" s="9" t="str">
        <x:f>IF(I113="통과",IF(OR(J113="",K113="",L113="",M113=""),"증거·확인자 보완",IF(J113=K113,"교차 확인 필요","완료")),IF(I113="해당 없음",IF(M113="","제외 사유 필요","범위 제외"),"진행 필요"))</x:f>
        <x:v>진행 필요</x:v>
      </x:c>
    </x:row>
    <x:row r="114" ht="46" customHeight="1">
      <x:c r="A114" s="3" t="str">
        <x:v>T-021</x:v>
      </x:c>
      <x:c r="B114" s="3" t="str">
        <x:v>필수 MVP</x:v>
      </x:c>
      <x:c r="C114" s="3" t="str">
        <x:v>구현 검증</x:v>
      </x:c>
      <x:c r="D114" s="3" t="str">
        <x:v>세션 생명주기</x:v>
      </x:c>
      <x:c r="E114" s="3" t="str">
        <x:v>선결</x:v>
      </x:c>
      <x:c r="F114" s="3" t="str">
        <x:v>일부만 적용된 시작 실패·취소의 잔여 제한을 해제한다.</x:v>
      </x:c>
      <x:c r="G114" s="3" t="str">
        <x:v>사이트 규칙 적용 성공·Shorts 적용 실패 상태에서 취소/재시도를 처리한다.</x:v>
      </x:c>
      <x:c r="H114" s="3" t="str">
        <x:v>부분 규칙이 정리되어 시작 실패 뒤 의도치 않은 차단이 남지 않고 정상 시작으로 표시하지 않는다.</x:v>
      </x:c>
      <x:c r="I114" s="11" t="str">
        <x:v>미점검</x:v>
      </x:c>
      <x:c r="J114" s="11" t="str"/>
      <x:c r="K114" s="11" t="str"/>
      <x:c r="L114" s="12" t="str"/>
      <x:c r="M114" s="11" t="str"/>
      <x:c r="N114" s="3" t="str">
        <x:v>FOCURVE_Task_Flow_v1.0 (1).md 308,363행</x:v>
      </x:c>
      <x:c r="O114" s="3" t="str">
        <x:f>IF(I114="통과",IF(OR(J114="",K114="",L114="",M114=""),"증거·확인자 보완",IF(J114=K114,"교차 확인 필요","완료")),IF(I114="해당 없음",IF(M114="","제외 사유 필요","범위 제외"),"진행 필요"))</x:f>
        <x:v>진행 필요</x:v>
      </x:c>
    </x:row>
    <x:row r="115" ht="46" customHeight="1">
      <x:c r="A115" s="9" t="str">
        <x:v>T-022</x:v>
      </x:c>
      <x:c r="B115" s="9" t="str">
        <x:v>필수 MVP</x:v>
      </x:c>
      <x:c r="C115" s="9" t="str">
        <x:v>구현 검증</x:v>
      </x:c>
      <x:c r="D115" s="9" t="str">
        <x:v>세션 생명주기</x:v>
      </x:c>
      <x:c r="E115" s="9" t="str">
        <x:v>선결</x:v>
      </x:c>
      <x:c r="F115" s="9" t="str">
        <x:v>세션 시작 시 이미 열린 페이지를 처리한다.</x:v>
      </x:c>
      <x:c r="G115" s="9" t="str">
        <x:v>차단 사이트와 Shorts를 연 상태에서 세션을 시작한다.</x:v>
      </x:c>
      <x:c r="H115" s="9" t="str">
        <x:v>정책은 적용되지만 기존 탭 점검 자체를 새로운 접근으로 세지 않는다.</x:v>
      </x:c>
      <x:c r="I115" s="11" t="str">
        <x:v>미점검</x:v>
      </x:c>
      <x:c r="J115" s="11" t="str"/>
      <x:c r="K115" s="11" t="str"/>
      <x:c r="L115" s="12" t="str"/>
      <x:c r="M115" s="11" t="str"/>
      <x:c r="N115" s="9" t="str">
        <x:v>FOCURVE_Task_Flow_v1.0 (1).md 306행</x:v>
      </x:c>
      <x:c r="O115" s="9" t="str">
        <x:f>IF(I115="통과",IF(OR(J115="",K115="",L115="",M115=""),"증거·확인자 보완",IF(J115=K115,"교차 확인 필요","완료")),IF(I115="해당 없음",IF(M115="","제외 사유 필요","범위 제외"),"진행 필요"))</x:f>
        <x:v>진행 필요</x:v>
      </x:c>
    </x:row>
    <x:row r="116" ht="46" customHeight="1">
      <x:c r="A116" s="3" t="str">
        <x:v>T-023</x:v>
      </x:c>
      <x:c r="B116" s="3" t="str">
        <x:v>필수 MVP</x:v>
      </x:c>
      <x:c r="C116" s="3" t="str">
        <x:v>구현 검증</x:v>
      </x:c>
      <x:c r="D116" s="3" t="str">
        <x:v>세션 생명주기</x:v>
      </x:c>
      <x:c r="E116" s="3" t="str">
        <x:v>선결</x:v>
      </x:c>
      <x:c r="F116" s="3" t="str">
        <x:v>팝업 닫기와 다시 열기가 세션을 초기화하지 않는다.</x:v>
      </x:c>
      <x:c r="G116" s="3" t="str">
        <x:v>진행 중 팝업/웹 탭을 닫았다가 다시 연다.</x:v>
      </x:c>
      <x:c r="H116" s="3" t="str">
        <x:v>동일 세션·정책·남은 시간을 표시하고 시작 이벤트 및 접근 순서를 초기화하지 않는다.</x:v>
      </x:c>
      <x:c r="I116" s="11" t="str">
        <x:v>미점검</x:v>
      </x:c>
      <x:c r="J116" s="11" t="str"/>
      <x:c r="K116" s="11" t="str"/>
      <x:c r="L116" s="12" t="str"/>
      <x:c r="M116" s="11" t="str"/>
      <x:c r="N116" s="3" t="str">
        <x:v>FOCURVE_LowFi_설계.md 280행</x:v>
      </x:c>
      <x:c r="O116" s="3" t="str">
        <x:f>IF(I116="통과",IF(OR(J116="",K116="",L116="",M116=""),"증거·확인자 보완",IF(J116=K116,"교차 확인 필요","완료")),IF(I116="해당 없음",IF(M116="","제외 사유 필요","범위 제외"),"진행 필요"))</x:f>
        <x:v>진행 필요</x:v>
      </x:c>
    </x:row>
    <x:row r="117" ht="46" customHeight="1">
      <x:c r="A117" s="9" t="str">
        <x:v>T-024</x:v>
      </x:c>
      <x:c r="B117" s="9" t="str">
        <x:v>필수 MVP</x:v>
      </x:c>
      <x:c r="C117" s="9" t="str">
        <x:v>구현 검증</x:v>
      </x:c>
      <x:c r="D117" s="9" t="str">
        <x:v>세션 생명주기</x:v>
      </x:c>
      <x:c r="E117" s="9" t="str">
        <x:v>선결</x:v>
      </x:c>
      <x:c r="F117" s="9" t="str">
        <x:v>직접 종료와 시간 만료를 구분한다.</x:v>
      </x:c>
      <x:c r="G117" s="9" t="str">
        <x:v>직접 종료 확인 취소/확정과 자동 만료를 각각 수행한다.</x:v>
      </x:c>
      <x:c r="H117" s="9" t="str">
        <x:v>취소는 진행 유지, 확정은 종료, 만료는 확인창 없이 종료하며 end_reason이 기대값과 일치한다.</x:v>
      </x:c>
      <x:c r="I117" s="11" t="str">
        <x:v>미점검</x:v>
      </x:c>
      <x:c r="J117" s="11" t="str"/>
      <x:c r="K117" s="11" t="str"/>
      <x:c r="L117" s="12" t="str"/>
      <x:c r="M117" s="11" t="str"/>
      <x:c r="N117" s="9" t="str">
        <x:v>FOCURVE_Task_Flow_v1.0 (1).md 375~418행</x:v>
      </x:c>
      <x:c r="O117" s="9" t="str">
        <x:f>IF(I117="통과",IF(OR(J117="",K117="",L117="",M117=""),"증거·확인자 보완",IF(J117=K117,"교차 확인 필요","완료")),IF(I117="해당 없음",IF(M117="","제외 사유 필요","범위 제외"),"진행 필요"))</x:f>
        <x:v>진행 필요</x:v>
      </x:c>
    </x:row>
    <x:row r="118" ht="46" customHeight="1">
      <x:c r="A118" s="3" t="str">
        <x:v>T-025</x:v>
      </x:c>
      <x:c r="B118" s="3" t="str">
        <x:v>필수 MVP</x:v>
      </x:c>
      <x:c r="C118" s="3" t="str">
        <x:v>구현 검증</x:v>
      </x:c>
      <x:c r="D118" s="3" t="str">
        <x:v>세션 생명주기</x:v>
      </x:c>
      <x:c r="E118" s="3" t="str">
        <x:v>선결</x:v>
      </x:c>
      <x:c r="F118" s="3" t="str">
        <x:v>네트워크 단절 중에도 로컬 정책 해제를 진행한다.</x:v>
      </x:c>
      <x:c r="G118" s="3" t="str">
        <x:v>종료 직전 서버 통신을 차단하고 세션을 끝낸다.</x:v>
      </x:c>
      <x:c r="H118" s="3" t="str">
        <x:v>서버 응답을 기다려 차단 해제를 지연하지 않고 로컬 해제와 기록 전송 대기를 별도로 표시한다.</x:v>
      </x:c>
      <x:c r="I118" s="11" t="str">
        <x:v>미점검</x:v>
      </x:c>
      <x:c r="J118" s="11" t="str"/>
      <x:c r="K118" s="11" t="str"/>
      <x:c r="L118" s="12" t="str"/>
      <x:c r="M118" s="11" t="str"/>
      <x:c r="N118" s="3" t="str">
        <x:v>FOCURVE_Task_Flow_v1.0 (1).md 419~422행</x:v>
      </x:c>
      <x:c r="O118" s="3" t="str">
        <x:f>IF(I118="통과",IF(OR(J118="",K118="",L118="",M118=""),"증거·확인자 보완",IF(J118=K118,"교차 확인 필요","완료")),IF(I118="해당 없음",IF(M118="","제외 사유 필요","범위 제외"),"진행 필요"))</x:f>
        <x:v>진행 필요</x:v>
      </x:c>
    </x:row>
    <x:row r="119" ht="46" customHeight="1">
      <x:c r="A119" s="9" t="str">
        <x:v>T-026</x:v>
      </x:c>
      <x:c r="B119" s="9" t="str">
        <x:v>필수 MVP</x:v>
      </x:c>
      <x:c r="C119" s="9" t="str">
        <x:v>구현 검증</x:v>
      </x:c>
      <x:c r="D119" s="9" t="str">
        <x:v>세션 생명주기</x:v>
      </x:c>
      <x:c r="E119" s="9" t="str">
        <x:v>선결</x:v>
      </x:c>
      <x:c r="F119" s="9" t="str">
        <x:v>해제 실패를 종료 완료로 표시하지 않는다.</x:v>
      </x:c>
      <x:c r="G119" s="9" t="str">
        <x:v>정책 해제 실패 또는 확인 불가 응답을 입력한다.</x:v>
      </x:c>
      <x:c r="H119" s="9" t="str">
        <x:v>종료 처리 중/해제 확인 필요와 점검·재시도를 표시하고 SESSION_ENDED를 생성하지 않는다.</x:v>
      </x:c>
      <x:c r="I119" s="11" t="str">
        <x:v>미점검</x:v>
      </x:c>
      <x:c r="J119" s="11" t="str"/>
      <x:c r="K119" s="11" t="str"/>
      <x:c r="L119" s="12" t="str"/>
      <x:c r="M119" s="11" t="str"/>
      <x:c r="N119" s="9" t="str">
        <x:v>FOCURVE_Event_Schema_v1.0(1).md 202~216행</x:v>
      </x:c>
      <x:c r="O119" s="9" t="str">
        <x:f>IF(I119="통과",IF(OR(J119="",K119="",L119="",M119=""),"증거·확인자 보완",IF(J119=K119,"교차 확인 필요","완료")),IF(I119="해당 없음",IF(M119="","제외 사유 필요","범위 제외"),"진행 필요"))</x:f>
        <x:v>진행 필요</x:v>
      </x:c>
    </x:row>
    <x:row r="120" ht="46" customHeight="1">
      <x:c r="A120" s="3" t="str">
        <x:v>T-027</x:v>
      </x:c>
      <x:c r="B120" s="3" t="str">
        <x:v>필수 MVP</x:v>
      </x:c>
      <x:c r="C120" s="3" t="str">
        <x:v>구현 검증</x:v>
      </x:c>
      <x:c r="D120" s="3" t="str">
        <x:v>접근 경계</x:v>
      </x:c>
      <x:c r="E120" s="3" t="str">
        <x:v>선결</x:v>
      </x:c>
      <x:c r="F120" s="3" t="str">
        <x:v>새 탐색·새로고침·Shorts 재진입을 독립 접근으로 구분한다.</x:v>
      </x:c>
      <x:c r="G120" s="3" t="str">
        <x:v>동일 주소 빠른 재시도, 새 탭, 새로고침, Shorts 이탈/재진입을 입력한다.</x:v>
      </x:c>
      <x:c r="H120" s="3" t="str">
        <x:v>실제 새 행동마다 새 attempt_id와 access_seq를 부여하고 단순 시간 간격만으로 서로 합치지 않는다.</x:v>
      </x:c>
      <x:c r="I120" s="11" t="str">
        <x:v>미점검</x:v>
      </x:c>
      <x:c r="J120" s="11" t="str"/>
      <x:c r="K120" s="11" t="str"/>
      <x:c r="L120" s="12" t="str"/>
      <x:c r="M120" s="11" t="str"/>
      <x:c r="N120" s="3" t="str">
        <x:v>FOCURVE_Event_Schema_v1.0(1).md 44~61행</x:v>
      </x:c>
      <x:c r="O120" s="3" t="str">
        <x:f>IF(I120="통과",IF(OR(J120="",K120="",L120="",M120=""),"증거·확인자 보완",IF(J120=K120,"교차 확인 필요","완료")),IF(I120="해당 없음",IF(M120="","제외 사유 필요","범위 제외"),"진행 필요"))</x:f>
        <x:v>진행 필요</x:v>
      </x:c>
    </x:row>
    <x:row r="121" ht="46" customHeight="1">
      <x:c r="A121" s="9" t="str">
        <x:v>T-028</x:v>
      </x:c>
      <x:c r="B121" s="9" t="str">
        <x:v>필수 MVP</x:v>
      </x:c>
      <x:c r="C121" s="9" t="str">
        <x:v>구현 검증</x:v>
      </x:c>
      <x:c r="D121" s="9" t="str">
        <x:v>접근 경계</x:v>
      </x:c>
      <x:c r="E121" s="9" t="str">
        <x:v>선결</x:v>
      </x:c>
      <x:c r="F121" s="9" t="str">
        <x:v>차단 안내·자동 렌더링·포커스 변경은 새 접근이 아니다.</x:v>
      </x:c>
      <x:c r="G121" s="9" t="str">
        <x:v>차단 안내 새로고침, 중복 콜백, 팝업 열기, 탭 포커스 변경, Shorts 연속 스크롤을 입력한다.</x:v>
      </x:c>
      <x:c r="H121" s="9" t="str">
        <x:v>추가 접근이 생성되지 않는다. 감지 근거 없는 사용자 행동을 추정하지 않는다.</x:v>
      </x:c>
      <x:c r="I121" s="11" t="str">
        <x:v>미점검</x:v>
      </x:c>
      <x:c r="J121" s="11" t="str"/>
      <x:c r="K121" s="11" t="str"/>
      <x:c r="L121" s="12" t="str"/>
      <x:c r="M121" s="11" t="str"/>
      <x:c r="N121" s="9" t="str">
        <x:v>FOCURVE_Event_Schema_v1.0(1).md 50~61행</x:v>
      </x:c>
      <x:c r="O121" s="9" t="str">
        <x:f>IF(I121="통과",IF(OR(J121="",K121="",L121="",M121=""),"증거·확인자 보완",IF(J121=K121,"교차 확인 필요","완료")),IF(I121="해당 없음",IF(M121="","제외 사유 필요","범위 제외"),"진행 필요"))</x:f>
        <x:v>진행 필요</x:v>
      </x:c>
    </x:row>
    <x:row r="122" ht="46" customHeight="1">
      <x:c r="A122" s="3" t="str">
        <x:v>T-029</x:v>
      </x:c>
      <x:c r="B122" s="3" t="str">
        <x:v>필수 MVP</x:v>
      </x:c>
      <x:c r="C122" s="3" t="str">
        <x:v>구현 검증</x:v>
      </x:c>
      <x:c r="D122" s="3" t="str">
        <x:v>접근 경계</x:v>
      </x:c>
      <x:c r="E122" s="3" t="str">
        <x:v>선결</x:v>
      </x:c>
      <x:c r="F122" s="3" t="str">
        <x:v>기본 허용 사이트와 세션 밖 탐색은 기록하지 않는다.</x:v>
      </x:c>
      <x:c r="G122" s="3" t="str">
        <x:v>집중/일반 기본 허용, 비관리 사이트, 세션 종료 후 탐색을 각각 처리한다.</x:v>
      </x:c>
      <x:c r="H122" s="3" t="str">
        <x:v>이벤트와 통계에 포함하지 않으며 Shorts 판별이 일반 영상 기록까지 확대되지 않는다.</x:v>
      </x:c>
      <x:c r="I122" s="11" t="str">
        <x:v>미점검</x:v>
      </x:c>
      <x:c r="J122" s="11" t="str"/>
      <x:c r="K122" s="11" t="str"/>
      <x:c r="L122" s="12" t="str"/>
      <x:c r="M122" s="11" t="str"/>
      <x:c r="N122" s="3" t="str">
        <x:v>FOCURVE_Event_Schema_v1.0(1).md 11~12,28~36,134행</x:v>
      </x:c>
      <x:c r="O122" s="3" t="str">
        <x:f>IF(I122="통과",IF(OR(J122="",K122="",L122="",M122=""),"증거·확인자 보완",IF(J122=K122,"교차 확인 필요","완료")),IF(I122="해당 없음",IF(M122="","제외 사유 필요","범위 제외"),"진행 필요"))</x:f>
        <x:v>진행 필요</x:v>
      </x:c>
    </x:row>
    <x:row r="123" ht="46" customHeight="1">
      <x:c r="A123" s="9" t="str">
        <x:v>T-030</x:v>
      </x:c>
      <x:c r="B123" s="9" t="str">
        <x:v>필수 MVP</x:v>
      </x:c>
      <x:c r="C123" s="9" t="str">
        <x:v>구현 검증</x:v>
      </x:c>
      <x:c r="D123" s="9" t="str">
        <x:v>접근 경계</x:v>
      </x:c>
      <x:c r="E123" s="9" t="str">
        <x:v>선결</x:v>
      </x:c>
      <x:c r="F123" s="9" t="str">
        <x:v>차단 적용 실패를 성공 이벤트와 분리한다.</x:v>
      </x:c>
      <x:c r="G123" s="9" t="str">
        <x:v>실제 차단 실패, 콘텐츠 제한 실패, 기록 업로드 실패를 각각 재현한다.</x:v>
      </x:c>
      <x:c r="H123" s="9" t="str">
        <x:v>차단 실패는 성공 접근 통계에 섞지 않고 운영 진단/오류 상태로 식별하며 단순 업로드 실패와 구분한다.</x:v>
      </x:c>
      <x:c r="I123" s="11" t="str">
        <x:v>미점검</x:v>
      </x:c>
      <x:c r="J123" s="11" t="str"/>
      <x:c r="K123" s="11" t="str"/>
      <x:c r="L123" s="12" t="str"/>
      <x:c r="M123" s="11" t="str"/>
      <x:c r="N123" s="9" t="str">
        <x:v>FOCURVE_Task_Flow_v1.0 (1).md 441~483행</x:v>
      </x:c>
      <x:c r="O123" s="9" t="str">
        <x:f>IF(I123="통과",IF(OR(J123="",K123="",L123="",M123=""),"증거·확인자 보완",IF(J123=K123,"교차 확인 필요","완료")),IF(I123="해당 없음",IF(M123="","제외 사유 필요","범위 제외"),"진행 필요"))</x:f>
        <x:v>진행 필요</x:v>
      </x:c>
    </x:row>
    <x:row r="124" ht="46" customHeight="1">
      <x:c r="A124" s="3" t="str">
        <x:v>T-031</x:v>
      </x:c>
      <x:c r="B124" s="3" t="str">
        <x:v>필수 MVP</x:v>
      </x:c>
      <x:c r="C124" s="3" t="str">
        <x:v>구현 검증</x:v>
      </x:c>
      <x:c r="D124" s="3" t="str">
        <x:v>이벤트·반복</x:v>
      </x:c>
      <x:c r="E124" s="3" t="str">
        <x:v>선결</x:v>
      </x:c>
      <x:c r="F124" s="3" t="str">
        <x:v>한 행동의 여러 관찰 지점이 attempt_id를 공유한다.</x:v>
      </x:c>
      <x:c r="G124" s="3" t="str">
        <x:v>같은 탐색을 navigation/content script 등 두 경로에서 감지하는 예시를 작성한다.</x:v>
      </x:c>
      <x:c r="H124" s="3" t="str">
        <x:v>동일 session·attempt·target은 대표 이벤트 한 건이고 새 행동은 별도 식별된다. 실제 브라우저 검증 증거가 필요하다.</x:v>
      </x:c>
      <x:c r="I124" s="11" t="str">
        <x:v>미점검</x:v>
      </x:c>
      <x:c r="J124" s="11" t="str"/>
      <x:c r="K124" s="11" t="str"/>
      <x:c r="L124" s="12" t="str"/>
      <x:c r="M124" s="11" t="str"/>
      <x:c r="N124" s="3" t="str">
        <x:v>FOCURVE_Event_Schema_v1.0(1).md 63~73,176행</x:v>
      </x:c>
      <x:c r="O124" s="3" t="str">
        <x:f>IF(I124="통과",IF(OR(J124="",K124="",L124="",M124=""),"증거·확인자 보완",IF(J124=K124,"교차 확인 필요","완료")),IF(I124="해당 없음",IF(M124="","제외 사유 필요","범위 제외"),"진행 필요"))</x:f>
        <x:v>진행 필요</x:v>
      </x:c>
    </x:row>
    <x:row r="125" ht="46" customHeight="1">
      <x:c r="A125" s="9" t="str">
        <x:v>T-032</x:v>
      </x:c>
      <x:c r="B125" s="9" t="str">
        <x:v>필수 MVP</x:v>
      </x:c>
      <x:c r="C125" s="9" t="str">
        <x:v>구현 검증</x:v>
      </x:c>
      <x:c r="D125" s="9" t="str">
        <x:v>이벤트·반복</x:v>
      </x:c>
      <x:c r="E125" s="9" t="str">
        <x:v>선결</x:v>
      </x:c>
      <x:c r="F125" s="9" t="str">
        <x:v>event_id 재전송과 내용 충돌을 구분한다.</x:v>
      </x:c>
      <x:c r="G125" s="9" t="str">
        <x:v>같은 ID/같은 payload 및 같은 ID/다른 payload를 두 번 전송한다.</x:v>
      </x:c>
      <x:c r="H125" s="9" t="str">
        <x:v>같은 내용은 기존 저장 결과를 반환하고 다른 내용은 거절하며 원래 이벤트와 집계가 보존된다.</x:v>
      </x:c>
      <x:c r="I125" s="11" t="str">
        <x:v>미점검</x:v>
      </x:c>
      <x:c r="J125" s="11" t="str"/>
      <x:c r="K125" s="11" t="str"/>
      <x:c r="L125" s="12" t="str"/>
      <x:c r="M125" s="11" t="str"/>
      <x:c r="N125" s="9" t="str">
        <x:v>FOCURVE_Event_Schema_v1.0(1).md 174~175행</x:v>
      </x:c>
      <x:c r="O125" s="9" t="str">
        <x:f>IF(I125="통과",IF(OR(J125="",K125="",L125="",M125=""),"증거·확인자 보완",IF(J125=K125,"교차 확인 필요","완료")),IF(I125="해당 없음",IF(M125="","제외 사유 필요","범위 제외"),"진행 필요"))</x:f>
        <x:v>진행 필요</x:v>
      </x:c>
    </x:row>
    <x:row r="126" ht="46" customHeight="1">
      <x:c r="A126" s="3" t="str">
        <x:v>T-033</x:v>
      </x:c>
      <x:c r="B126" s="3" t="str">
        <x:v>필수 MVP</x:v>
      </x:c>
      <x:c r="C126" s="3" t="str">
        <x:v>구현 검증</x:v>
      </x:c>
      <x:c r="D126" s="3" t="str">
        <x:v>이벤트·반복</x:v>
      </x:c>
      <x:c r="E126" s="3" t="str">
        <x:v>선결</x:v>
      </x:c>
      <x:c r="F126" s="3" t="str">
        <x:v>access_seq 발급과 이벤트 저장이 재시작에도 일관된다.</x:v>
      </x:c>
      <x:c r="G126" s="3" t="str">
        <x:v>동시 접근, 저장 직후 재시작, 전송 재시도를 처리한다.</x:v>
      </x:c>
      <x:c r="H126" s="3" t="str">
        <x:v>세션 단위 순서가 단조 증가하고 중복 순번·재시도 신규 ID·저장되지 않은 순번 발급으로 인한 불명 누락이 없다.</x:v>
      </x:c>
      <x:c r="I126" s="11" t="str">
        <x:v>미점검</x:v>
      </x:c>
      <x:c r="J126" s="11" t="str"/>
      <x:c r="K126" s="11" t="str"/>
      <x:c r="L126" s="12" t="str"/>
      <x:c r="M126" s="11" t="str"/>
      <x:c r="N126" s="3" t="str">
        <x:v>FOCURVE_Event_Schema_v1.0(1).md 69,94,164,178,222행</x:v>
      </x:c>
      <x:c r="O126" s="3" t="str">
        <x:f>IF(I126="통과",IF(OR(J126="",K126="",L126="",M126=""),"증거·확인자 보완",IF(J126=K126,"교차 확인 필요","완료")),IF(I126="해당 없음",IF(M126="","제외 사유 필요","범위 제외"),"진행 필요"))</x:f>
        <x:v>진행 필요</x:v>
      </x:c>
    </x:row>
    <x:row r="127" ht="46" customHeight="1">
      <x:c r="A127" s="9" t="str">
        <x:v>T-034</x:v>
      </x:c>
      <x:c r="B127" s="9" t="str">
        <x:v>필수 MVP</x:v>
      </x:c>
      <x:c r="C127" s="9" t="str">
        <x:v>구현 검증</x:v>
      </x:c>
      <x:c r="D127" s="9" t="str">
        <x:v>이벤트·반복</x:v>
      </x:c>
      <x:c r="E127" s="9" t="str">
        <x:v>선결</x:v>
      </x:c>
      <x:c r="F127" s="9" t="str">
        <x:v>반복 횟수는 세션·대상별 첫 접근을 제외한다.</x:v>
      </x:c>
      <x:c r="G127" s="9" t="str">
        <x:v>Instagram→Reddit→Instagram, 새 세션 Instagram, YouTube 사이트와 Shorts 별도 키를 비교한다.</x:v>
      </x:c>
      <x:c r="H127" s="9" t="str">
        <x:v>첫 예시는 전체 3·Instagram 반복 1, 새 세션은 첫 접근, 사이트/기능 대상은 분리되어 계산된다.</x:v>
      </x:c>
      <x:c r="I127" s="11" t="str">
        <x:v>미점검</x:v>
      </x:c>
      <x:c r="J127" s="11" t="str"/>
      <x:c r="K127" s="11" t="str"/>
      <x:c r="L127" s="12" t="str"/>
      <x:c r="M127" s="11" t="str"/>
      <x:c r="N127" s="9" t="str">
        <x:v>FOCURVE_Event_Schema_v1.0(1).md 142~160행</x:v>
      </x:c>
      <x:c r="O127" s="9" t="str">
        <x:f>IF(I127="통과",IF(OR(J127="",K127="",L127="",M127=""),"증거·확인자 보완",IF(J127=K127,"교차 확인 필요","완료")),IF(I127="해당 없음",IF(M127="","제외 사유 필요","범위 제외"),"진행 필요"))</x:f>
        <x:v>진행 필요</x:v>
      </x:c>
    </x:row>
    <x:row r="128" ht="46" customHeight="1">
      <x:c r="A128" s="3" t="str">
        <x:v>T-035</x:v>
      </x:c>
      <x:c r="B128" s="3" t="str">
        <x:v>필수 MVP</x:v>
      </x:c>
      <x:c r="C128" s="3" t="str">
        <x:v>구현 검증</x:v>
      </x:c>
      <x:c r="D128" s="3" t="str">
        <x:v>이벤트·반복</x:v>
      </x:c>
      <x:c r="E128" s="3" t="str">
        <x:v>선결</x:v>
      </x:c>
      <x:c r="F128" s="3" t="str">
        <x:v>지연 수신 이벤트로 반복 순번을 재계산한다.</x:v>
      </x:c>
      <x:c r="G128" s="3" t="str">
        <x:v>seq=8을 먼저 받고 seq=1,4를 뒤늦게 수신한다.</x:v>
      </x:c>
      <x:c r="H128" s="3" t="str">
        <x:v>대상별 순번·반복을 원래 access_seq로 재계산하고 불완전한 수신 상태를 함께 표시한다.</x:v>
      </x:c>
      <x:c r="I128" s="11" t="str">
        <x:v>미점검</x:v>
      </x:c>
      <x:c r="J128" s="11" t="str"/>
      <x:c r="K128" s="11" t="str"/>
      <x:c r="L128" s="12" t="str"/>
      <x:c r="M128" s="11" t="str"/>
      <x:c r="N128" s="3" t="str">
        <x:v>FOCURVE_Event_Schema_v1.0(1).md 164~168,230~232행</x:v>
      </x:c>
      <x:c r="O128" s="3" t="str">
        <x:f>IF(I128="통과",IF(OR(J128="",K128="",L128="",M128=""),"증거·확인자 보완",IF(J128=K128,"교차 확인 필요","완료")),IF(I128="해당 없음",IF(M128="","제외 사유 필요","범위 제외"),"진행 필요"))</x:f>
        <x:v>진행 필요</x:v>
      </x:c>
    </x:row>
    <x:row r="129" ht="46" customHeight="1">
      <x:c r="A129" s="9" t="str">
        <x:v>T-036</x:v>
      </x:c>
      <x:c r="B129" s="9" t="str">
        <x:v>필수 MVP</x:v>
      </x:c>
      <x:c r="C129" s="9" t="str">
        <x:v>구현 검증</x:v>
      </x:c>
      <x:c r="D129" s="9" t="str">
        <x:v>이벤트·반복</x:v>
      </x:c>
      <x:c r="E129" s="9" t="str">
        <x:v>선결</x:v>
      </x:c>
      <x:c r="F129" s="9" t="str">
        <x:v>시작·종료와 접근 이벤트 도착 순서 역전을 처리한다.</x:v>
      </x:c>
      <x:c r="G129" s="9" t="str">
        <x:v>종료→접근, 접근→시작 순서로 수신한다.</x:v>
      </x:c>
      <x:c r="H129" s="9" t="str">
        <x:v>늦은 유효 접근은 원래 세션에 반영하고 시작 확인 부족은 보류하며 생명주기 이벤트를 접근 횟수에 더하지 않는다.</x:v>
      </x:c>
      <x:c r="I129" s="11" t="str">
        <x:v>미점검</x:v>
      </x:c>
      <x:c r="J129" s="11" t="str"/>
      <x:c r="K129" s="11" t="str"/>
      <x:c r="L129" s="12" t="str"/>
      <x:c r="M129" s="11" t="str"/>
      <x:c r="N129" s="9" t="str">
        <x:v>FOCURVE_Event_Schema_v1.0(1).md 224~232,329행</x:v>
      </x:c>
      <x:c r="O129" s="9" t="str">
        <x:f>IF(I129="통과",IF(OR(J129="",K129="",L129="",M129=""),"증거·확인자 보완",IF(J129=K129,"교차 확인 필요","완료")),IF(I129="해당 없음",IF(M129="","제외 사유 필요","범위 제외"),"진행 필요"))</x:f>
        <x:v>진행 필요</x:v>
      </x:c>
    </x:row>
    <x:row r="130" ht="46" customHeight="1">
      <x:c r="A130" s="3" t="str">
        <x:v>T-037</x:v>
      </x:c>
      <x:c r="B130" s="3" t="str">
        <x:v>필수 MVP</x:v>
      </x:c>
      <x:c r="C130" s="3" t="str">
        <x:v>구현 검증</x:v>
      </x:c>
      <x:c r="D130" s="3" t="str">
        <x:v>이벤트·반복</x:v>
      </x:c>
      <x:c r="E130" s="3" t="str">
        <x:v>선결</x:v>
      </x:c>
      <x:c r="F130" s="3" t="str">
        <x:v>저장 확인되지 않은 이벤트는 전송 완료로 제거하지 않는다.</x:v>
      </x:c>
      <x:c r="G130" s="3" t="str">
        <x:v>저장 후 응답 유실, 배치 부분 성공, PENDING/REJECTED 응답을 입력한다.</x:v>
      </x:c>
      <x:c r="H130" s="3" t="str">
        <x:v>같은 ID로 결과를 재확인하고 미확인 원본을 유지하며 보류/거절을 성공으로 숨기지 않는다.</x:v>
      </x:c>
      <x:c r="I130" s="11" t="str">
        <x:v>미점검</x:v>
      </x:c>
      <x:c r="J130" s="11" t="str"/>
      <x:c r="K130" s="11" t="str"/>
      <x:c r="L130" s="12" t="str"/>
      <x:c r="M130" s="11" t="str"/>
      <x:c r="N130" s="3" t="str">
        <x:v>FOCURVE_Event_Schema_v1.0(1).md 180,222~228,349~351행</x:v>
      </x:c>
      <x:c r="O130" s="3" t="str">
        <x:f>IF(I130="통과",IF(OR(J130="",K130="",L130="",M130=""),"증거·확인자 보완",IF(J130=K130,"교차 확인 필요","완료")),IF(I130="해당 없음",IF(M130="","제외 사유 필요","범위 제외"),"진행 필요"))</x:f>
        <x:v>진행 필요</x:v>
      </x:c>
    </x:row>
    <x:row r="131" ht="46" customHeight="1">
      <x:c r="A131" s="9" t="str">
        <x:v>T-038</x:v>
      </x:c>
      <x:c r="B131" s="9" t="str">
        <x:v>필수 MVP</x:v>
      </x:c>
      <x:c r="C131" s="9" t="str">
        <x:v>구현 검증</x:v>
      </x:c>
      <x:c r="D131" s="9" t="str">
        <x:v>이벤트·반복</x:v>
      </x:c>
      <x:c r="E131" s="9" t="str">
        <x:v>선결</x:v>
      </x:c>
      <x:c r="F131" s="9" t="str">
        <x:v>세션 집계 완료와 개별 저장 성공을 구분한다.</x:v>
      </x:c>
      <x:c r="G131" s="9" t="str">
        <x:v>last_access_seq=8인데 seq=5가 미수신인 결과를 조회한다.</x:v>
      </x:c>
      <x:c r="H131" s="9" t="str">
        <x:v>유효 수신 기록은 보이되 일부 반영 대기/확인 필요가 표시되고 0건 또는 전체 반영 완료로 오인하지 않는다.</x:v>
      </x:c>
      <x:c r="I131" s="11" t="str">
        <x:v>미점검</x:v>
      </x:c>
      <x:c r="J131" s="11" t="str"/>
      <x:c r="K131" s="11" t="str"/>
      <x:c r="L131" s="12" t="str"/>
      <x:c r="M131" s="11" t="str"/>
      <x:c r="N131" s="9" t="str">
        <x:v>FOCURVE_Event_Schema_v1.0(1).md 224~228,274행</x:v>
      </x:c>
      <x:c r="O131" s="9" t="str">
        <x:f>IF(I131="통과",IF(OR(J131="",K131="",L131="",M131=""),"증거·확인자 보완",IF(J131=K131,"교차 확인 필요","완료")),IF(I131="해당 없음",IF(M131="","제외 사유 필요","범위 제외"),"진행 필요"))</x:f>
        <x:v>진행 필요</x:v>
      </x:c>
    </x:row>
    <x:row r="132" ht="46" customHeight="1">
      <x:c r="A132" s="3" t="str">
        <x:v>T-039</x:v>
      </x:c>
      <x:c r="B132" s="3" t="str">
        <x:v>필수 MVP</x:v>
      </x:c>
      <x:c r="C132" s="3" t="str">
        <x:v>구현 검증</x:v>
      </x:c>
      <x:c r="D132" s="3" t="str">
        <x:v>수치·시간</x:v>
      </x:c>
      <x:c r="E132" s="3" t="str">
        <x:v>선결</x:v>
      </x:c>
      <x:c r="F132" s="3" t="str">
        <x:v>기준 예시 데이터의 합계가 모든 화면에서 같다.</x:v>
      </x:c>
      <x:c r="G132" s="3" t="str">
        <x:v>Schema의 12개 접근을 DASH·LOG·STAT·세션 결과에 대입한다.</x:v>
      </x:c>
      <x:c r="H132" s="3" t="str">
        <x:v>전체12=차단6+기록4+기능2, 반복4는 전체의 부분집합, 오전4/반복1·오후8/반복3, 정상 완료90분·2회다.</x:v>
      </x:c>
      <x:c r="I132" s="11" t="str">
        <x:v>미점검</x:v>
      </x:c>
      <x:c r="J132" s="11" t="str"/>
      <x:c r="K132" s="11" t="str"/>
      <x:c r="L132" s="12" t="str"/>
      <x:c r="M132" s="11" t="str"/>
      <x:c r="N132" s="3" t="str">
        <x:v>FOCURVE_Event_Schema_v1.0(1).md 301~329행</x:v>
      </x:c>
      <x:c r="O132" s="3" t="str">
        <x:f>IF(I132="통과",IF(OR(J132="",K132="",L132="",M132=""),"증거·확인자 보완",IF(J132=K132,"교차 확인 필요","완료")),IF(I132="해당 없음",IF(M132="","제외 사유 필요","범위 제외"),"진행 필요"))</x:f>
        <x:v>진행 필요</x:v>
      </x:c>
    </x:row>
    <x:row r="133" ht="46" customHeight="1">
      <x:c r="A133" s="9" t="str">
        <x:v>T-040</x:v>
      </x:c>
      <x:c r="B133" s="9" t="str">
        <x:v>필수 MVP</x:v>
      </x:c>
      <x:c r="C133" s="9" t="str">
        <x:v>구현 검증</x:v>
      </x:c>
      <x:c r="D133" s="9" t="str">
        <x:v>수치·시간</x:v>
      </x:c>
      <x:c r="E133" s="9" t="str">
        <x:v>선결</x:v>
      </x:c>
      <x:c r="F133" s="9" t="str">
        <x:v>진행 화면과 종료 후 누적 지표의 시점 차이를 지킨다.</x:v>
      </x:c>
      <x:c r="G133" s="9" t="str">
        <x:v>오후 세션 진행 중과 완료 직후 화면의 카드/통계를 비교한다.</x:v>
      </x:c>
      <x:c r="H133" s="9" t="str">
        <x:v>진행 중 완료누적1회·60분, 종료 후2회·90분처럼 현재 상태의 시점을 명시하고 진행시간을 완료시간에 섞지 않는다.</x:v>
      </x:c>
      <x:c r="I133" s="11" t="str">
        <x:v>미점검</x:v>
      </x:c>
      <x:c r="J133" s="11" t="str"/>
      <x:c r="K133" s="11" t="str"/>
      <x:c r="L133" s="12" t="str"/>
      <x:c r="M133" s="11" t="str"/>
      <x:c r="N133" s="9" t="str">
        <x:v>FOCURVE_LowFi_설계.md 82~95행</x:v>
      </x:c>
      <x:c r="O133" s="9" t="str">
        <x:f>IF(I133="통과",IF(OR(J133="",K133="",L133="",M133=""),"증거·확인자 보완",IF(J133=K133,"교차 확인 필요","완료")),IF(I133="해당 없음",IF(M133="","제외 사유 필요","범위 제외"),"진행 필요"))</x:f>
        <x:v>진행 필요</x:v>
      </x:c>
    </x:row>
    <x:row r="134" ht="46" customHeight="1">
      <x:c r="A134" s="3" t="str">
        <x:v>T-041</x:v>
      </x:c>
      <x:c r="B134" s="3" t="str">
        <x:v>필수 MVP</x:v>
      </x:c>
      <x:c r="C134" s="3" t="str">
        <x:v>구현 검증</x:v>
      </x:c>
      <x:c r="D134" s="3" t="str">
        <x:v>수치·시간</x:v>
      </x:c>
      <x:c r="E134" s="3" t="str">
        <x:v>선결</x:v>
      </x:c>
      <x:c r="F134" s="3" t="str">
        <x:v>UTC 저장과 한국 시간 표시가 일치한다.</x:v>
      </x:c>
      <x:c r="G134" s="3" t="str">
        <x:v>2026-09-20T05:28:00Z 이벤트를 목록·상세·시간대 차트에서 확인한다.</x:v>
      </x:c>
      <x:c r="H134" s="3" t="str">
        <x:v>한국 시간14:28로 표시되고 14시 구간에 집계되며 수신 시각으로 대체하지 않는다.</x:v>
      </x:c>
      <x:c r="I134" s="11" t="str">
        <x:v>미점검</x:v>
      </x:c>
      <x:c r="J134" s="11" t="str"/>
      <x:c r="K134" s="11" t="str"/>
      <x:c r="L134" s="12" t="str"/>
      <x:c r="M134" s="11" t="str"/>
      <x:c r="N134" s="3" t="str">
        <x:v>FOCURVE_Event_Schema_v1.0(1).md 77,165~168,236행</x:v>
      </x:c>
      <x:c r="O134" s="3" t="str">
        <x:f>IF(I134="통과",IF(OR(J134="",K134="",L134="",M134=""),"증거·확인자 보완",IF(J134=K134,"교차 확인 필요","완료")),IF(I134="해당 없음",IF(M134="","제외 사유 필요","범위 제외"),"진행 필요"))</x:f>
        <x:v>진행 필요</x:v>
      </x:c>
    </x:row>
    <x:row r="135" ht="46" customHeight="1">
      <x:c r="A135" s="9" t="str">
        <x:v>T-042</x:v>
      </x:c>
      <x:c r="B135" s="9" t="str">
        <x:v>필수 MVP</x:v>
      </x:c>
      <x:c r="C135" s="9" t="str">
        <x:v>구현 검증</x:v>
      </x:c>
      <x:c r="D135" s="9" t="str">
        <x:v>수치·시간</x:v>
      </x:c>
      <x:c r="E135" s="9" t="str">
        <x:v>선결</x:v>
      </x:c>
      <x:c r="F135" s="9" t="str">
        <x:v>자정과 필터가 반복 판정을 초기화하지 않는다.</x:v>
      </x:c>
      <x:c r="G135" s="9" t="str">
        <x:v>같은 세션에 23:59 Instagram, 00:01 Instagram을 생성하고 오늘 필터를 적용한다.</x:v>
      </x:c>
      <x:c r="H135" s="9" t="str">
        <x:v>00:01 기록은 대상 두 번째·반복으로 남으며 필터된 목록에서 다시 첫 접근으로 계산하지 않는다.</x:v>
      </x:c>
      <x:c r="I135" s="11" t="str">
        <x:v>미점검</x:v>
      </x:c>
      <x:c r="J135" s="11" t="str"/>
      <x:c r="K135" s="11" t="str"/>
      <x:c r="L135" s="12" t="str"/>
      <x:c r="M135" s="11" t="str"/>
      <x:c r="N135" s="9" t="str">
        <x:v>FOCURVE_Event_Schema_v1.0(1).md 168행</x:v>
      </x:c>
      <x:c r="O135" s="9" t="str">
        <x:f>IF(I135="통과",IF(OR(J135="",K135="",L135="",M135=""),"증거·확인자 보완",IF(J135=K135,"교차 확인 필요","완료")),IF(I135="해당 없음",IF(M135="","제외 사유 필요","범위 제외"),"진행 필요"))</x:f>
        <x:v>진행 필요</x:v>
      </x:c>
    </x:row>
    <x:row r="136" ht="46" customHeight="1">
      <x:c r="A136" s="3" t="str">
        <x:v>T-043</x:v>
      </x:c>
      <x:c r="B136" s="3" t="str">
        <x:v>필수 MVP</x:v>
      </x:c>
      <x:c r="C136" s="3" t="str">
        <x:v>구현 검증</x:v>
      </x:c>
      <x:c r="D136" s="3" t="str">
        <x:v>수치·시간</x:v>
      </x:c>
      <x:c r="E136" s="3" t="str">
        <x:v>선결</x:v>
      </x:c>
      <x:c r="F136" s="3" t="str">
        <x:v>논리 종료 이후 해제 지연을 집중시간에 더하지 않는다.</x:v>
      </x:c>
      <x:c r="G136" s="3" t="str">
        <x:v>종료예정14:30:00, 해제확인14:30:00.250 및 지연 중 접근 사례를 확인한다.</x:v>
      </x:c>
      <x:c r="H136" s="3" t="str">
        <x:v>집중시간은 논리적 종료 기준이며 해제 지연 접근은 정상 접근 집계에서 분리한다.</x:v>
      </x:c>
      <x:c r="I136" s="11" t="str">
        <x:v>미점검</x:v>
      </x:c>
      <x:c r="J136" s="11" t="str"/>
      <x:c r="K136" s="11" t="str"/>
      <x:c r="L136" s="12" t="str"/>
      <x:c r="M136" s="11" t="str"/>
      <x:c r="N136" s="3" t="str">
        <x:v>FOCURVE_Event_Schema_v1.0(1).md 206~216,297행</x:v>
      </x:c>
      <x:c r="O136" s="3" t="str">
        <x:f>IF(I136="통과",IF(OR(J136="",K136="",L136="",M136=""),"증거·확인자 보완",IF(J136=K136,"교차 확인 필요","완료")),IF(I136="해당 없음",IF(M136="","제외 사유 필요","범위 제외"),"진행 필요"))</x:f>
        <x:v>진행 필요</x:v>
      </x:c>
    </x:row>
    <x:row r="137" ht="46" customHeight="1">
      <x:c r="A137" s="9" t="str">
        <x:v>T-044</x:v>
      </x:c>
      <x:c r="B137" s="9" t="str">
        <x:v>필수 MVP</x:v>
      </x:c>
      <x:c r="C137" s="9" t="str">
        <x:v>구현 검증</x:v>
      </x:c>
      <x:c r="D137" s="9" t="str">
        <x:v>수치·시간</x:v>
      </x:c>
      <x:c r="E137" s="9" t="str">
        <x:v>중요</x:v>
      </x:c>
      <x:c r="F137" s="9" t="str">
        <x:v>사이트 분류 현황을 등록 설정의 구성으로 설명한다.</x:v>
      </x:c>
      <x:c r="G137" s="9" t="str">
        <x:v>등록 집중3·방해4·일반1에 접근 기록을 0 또는 다수로 바꾸어 비교한다.</x:v>
      </x:c>
      <x:c r="H137" s="9" t="str">
        <x:v>분류 현황은 등록8개의 구성이며 방문 수·이용시간 비율로 표시하지 않는다.</x:v>
      </x:c>
      <x:c r="I137" s="11" t="str">
        <x:v>미점검</x:v>
      </x:c>
      <x:c r="J137" s="11" t="str"/>
      <x:c r="K137" s="11" t="str"/>
      <x:c r="L137" s="12" t="str"/>
      <x:c r="M137" s="11" t="str"/>
      <x:c r="N137" s="9" t="str">
        <x:v>FOCURVE_LowFi_설계.md 33,91행</x:v>
      </x:c>
      <x:c r="O137" s="9" t="str">
        <x:f>IF(I137="통과",IF(OR(J137="",K137="",L137="",M137=""),"증거·확인자 보완",IF(J137=K137,"교차 확인 필요","완료")),IF(I137="해당 없음",IF(M137="","제외 사유 필요","범위 제외"),"진행 필요"))</x:f>
        <x:v>진행 필요</x:v>
      </x:c>
    </x:row>
    <x:row r="138" ht="61" customHeight="1">
      <x:c r="A138" s="3" t="str">
        <x:v>T-045</x:v>
      </x:c>
      <x:c r="B138" s="3" t="str">
        <x:v>필수 MVP</x:v>
      </x:c>
      <x:c r="C138" s="3" t="str">
        <x:v>구현 검증</x:v>
      </x:c>
      <x:c r="D138" s="3" t="str">
        <x:v>이전·복구</x:v>
      </x:c>
      <x:c r="E138" s="3" t="str">
        <x:v>선결</x:v>
      </x:c>
      <x:c r="F138" s="3" t="str">
        <x:v>가져오기 동의와 미선택 상태를 구분한다.</x:v>
      </x:c>
      <x:c r="G138" s="3" t="str">
        <x:v>로그인만 완료, 범위 미선택, 설정만 선택, 기록만 선택, 건너뛰기를 각각 수행한다.</x:v>
      </x:c>
      <x:c r="H138" s="3" t="str">
        <x:v>현재 계정과 범위를 확인하고 선택 자료만 업로드한다. 미선택 가져오기 비활성, 건너뜀 후 계정 이용 가능, 원본 유지다.</x:v>
      </x:c>
      <x:c r="I138" s="11" t="str">
        <x:v>미점검</x:v>
      </x:c>
      <x:c r="J138" s="11" t="str"/>
      <x:c r="K138" s="11" t="str"/>
      <x:c r="L138" s="12" t="str"/>
      <x:c r="M138" s="11" t="str"/>
      <x:c r="N138" s="3" t="str">
        <x:v>FOCURVE_User_Flow_v1.1 (1).md 160~166행</x:v>
      </x:c>
      <x:c r="O138" s="3" t="str">
        <x:f>IF(I138="통과",IF(OR(J138="",K138="",L138="",M138=""),"증거·확인자 보완",IF(J138=K138,"교차 확인 필요","완료")),IF(I138="해당 없음",IF(M138="","제외 사유 필요","범위 제외"),"진행 필요"))</x:f>
        <x:v>진행 필요</x:v>
      </x:c>
    </x:row>
    <x:row r="139" ht="46" customHeight="1">
      <x:c r="A139" s="9" t="str">
        <x:v>T-046</x:v>
      </x:c>
      <x:c r="B139" s="9" t="str">
        <x:v>필수 MVP</x:v>
      </x:c>
      <x:c r="C139" s="9" t="str">
        <x:v>구현 검증</x:v>
      </x:c>
      <x:c r="D139" s="9" t="str">
        <x:v>이전·복구</x:v>
      </x:c>
      <x:c r="E139" s="9" t="str">
        <x:v>선결</x:v>
      </x:c>
      <x:c r="F139" s="9" t="str">
        <x:v>기존 계정 설정과 비회원 설정 충돌을 검사한다.</x:v>
      </x:c>
      <x:c r="G139" s="9" t="str">
        <x:v>같은 호스트·다른 정책과 상위/하위 포함 범위를 각각 가져온다.</x:v>
      </x:c>
      <x:c r="H139" s="9" t="str">
        <x:v>승인한 충돌 규칙을 적용하고 계정 우선으로 미반영된 로컬 설정은 보존·안내한다. 포함 관계도 검사한다.</x:v>
      </x:c>
      <x:c r="I139" s="11" t="str">
        <x:v>미점검</x:v>
      </x:c>
      <x:c r="J139" s="11" t="str"/>
      <x:c r="K139" s="11" t="str"/>
      <x:c r="L139" s="12" t="str"/>
      <x:c r="M139" s="11" t="str"/>
      <x:c r="N139" s="9" t="str">
        <x:v>FOCURVE_User_Flow_v1.1 (1).md 162~164행</x:v>
      </x:c>
      <x:c r="O139" s="9" t="str">
        <x:f>IF(I139="통과",IF(OR(J139="",K139="",L139="",M139=""),"증거·확인자 보완",IF(J139=K139,"교차 확인 필요","완료")),IF(I139="해당 없음",IF(M139="","제외 사유 필요","범위 제외"),"진행 필요"))</x:f>
        <x:v>진행 필요</x:v>
      </x:c>
    </x:row>
    <x:row r="140" ht="46" customHeight="1">
      <x:c r="A140" s="3" t="str">
        <x:v>T-047</x:v>
      </x:c>
      <x:c r="B140" s="3" t="str">
        <x:v>필수 MVP</x:v>
      </x:c>
      <x:c r="C140" s="3" t="str">
        <x:v>구현 검증</x:v>
      </x:c>
      <x:c r="D140" s="3" t="str">
        <x:v>이전·복구</x:v>
      </x:c>
      <x:c r="E140" s="3" t="str">
        <x:v>선결</x:v>
      </x:c>
      <x:c r="F140" s="3" t="str">
        <x:v>기록만 가져와도 과거 정책과 반복 의미를 보존한다.</x:v>
      </x:c>
      <x:c r="G140" s="3" t="str">
        <x:v>현재 사이트 설정을 가져오지 않고 기록만 이전한다.</x:v>
      </x:c>
      <x:c r="H140" s="3" t="str">
        <x:v>원본 세션·정책 스냅샷·대상 설명·발생 시각을 전달하고 서버가 반복을 다시 계산한다.</x:v>
      </x:c>
      <x:c r="I140" s="11" t="str">
        <x:v>미점검</x:v>
      </x:c>
      <x:c r="J140" s="11" t="str"/>
      <x:c r="K140" s="11" t="str"/>
      <x:c r="L140" s="12" t="str"/>
      <x:c r="M140" s="11" t="str"/>
      <x:c r="N140" s="3" t="str">
        <x:v>FOCURVE_Event_Schema_v1.0(1).md 355~361행</x:v>
      </x:c>
      <x:c r="O140" s="3" t="str">
        <x:f>IF(I140="통과",IF(OR(J140="",K140="",L140="",M140=""),"증거·확인자 보완",IF(J140=K140,"교차 확인 필요","완료")),IF(I140="해당 없음",IF(M140="","제외 사유 필요","범위 제외"),"진행 필요"))</x:f>
        <x:v>진행 필요</x:v>
      </x:c>
    </x:row>
    <x:row r="141" ht="46" customHeight="1">
      <x:c r="A141" s="9" t="str">
        <x:v>T-048</x:v>
      </x:c>
      <x:c r="B141" s="9" t="str">
        <x:v>필수 MVP</x:v>
      </x:c>
      <x:c r="C141" s="9" t="str">
        <x:v>구현 검증</x:v>
      </x:c>
      <x:c r="D141" s="9" t="str">
        <x:v>이전·복구</x:v>
      </x:c>
      <x:c r="E141" s="9" t="str">
        <x:v>선결</x:v>
      </x:c>
      <x:c r="F141" s="9" t="str">
        <x:v>부분 성공·응답 유실 후 이전 재시도가 중복을 만들지 않는다.</x:v>
      </x:c>
      <x:c r="G141" s="9" t="str">
        <x:v>세션 일부 이벤트만 성공, 응답 유실, 재시도를 차례로 수행한다.</x:v>
      </x:c>
      <x:c r="H141" s="9" t="str">
        <x:v>원본 ID 매핑으로 한 번만 반영하고 세션 완전 반영 전 성공 표시나 필요한 원본 정리를 하지 않는다.</x:v>
      </x:c>
      <x:c r="I141" s="11" t="str">
        <x:v>미점검</x:v>
      </x:c>
      <x:c r="J141" s="11" t="str"/>
      <x:c r="K141" s="11" t="str"/>
      <x:c r="L141" s="12" t="str"/>
      <x:c r="M141" s="11" t="str"/>
      <x:c r="N141" s="9" t="str">
        <x:v>FOCURVE_Event_Schema_v1.0(1).md 181,358~361행</x:v>
      </x:c>
      <x:c r="O141" s="9" t="str">
        <x:f>IF(I141="통과",IF(OR(J141="",K141="",L141="",M141=""),"증거·확인자 보완",IF(J141=K141,"교차 확인 필요","완료")),IF(I141="해당 없음",IF(M141="","제외 사유 필요","범위 제외"),"진행 필요"))</x:f>
        <x:v>진행 필요</x:v>
      </x:c>
    </x:row>
    <x:row r="142" ht="46" customHeight="1">
      <x:c r="A142" s="3" t="str">
        <x:v>T-049</x:v>
      </x:c>
      <x:c r="B142" s="3" t="str">
        <x:v>필수 MVP</x:v>
      </x:c>
      <x:c r="C142" s="3" t="str">
        <x:v>구현 검증</x:v>
      </x:c>
      <x:c r="D142" s="3" t="str">
        <x:v>이전·복구</x:v>
      </x:c>
      <x:c r="E142" s="3" t="str">
        <x:v>선결</x:v>
      </x:c>
      <x:c r="F142" s="3" t="str">
        <x:v>로컬 저장소 오류와 자료 삭제의 결과를 알린다.</x:v>
      </x:c>
      <x:c r="G142" s="3" t="str">
        <x:v>저장 용량 부족, 저장 실패, 비회원 자료 삭제 취소/확정, 확장 삭제를 검토한다.</x:v>
      </x:c>
      <x:c r="H142" s="3" t="str">
        <x:v>저장 실패를 0건/성공으로 숨기지 않고 삭제 전에 대상과 복구 불가를 알리며 확인 후 삭제한다.</x:v>
      </x:c>
      <x:c r="I142" s="11" t="str">
        <x:v>미점검</x:v>
      </x:c>
      <x:c r="J142" s="11" t="str"/>
      <x:c r="K142" s="11" t="str"/>
      <x:c r="L142" s="12" t="str"/>
      <x:c r="M142" s="11" t="str"/>
      <x:c r="N142" s="3" t="str">
        <x:v>FOCURVE_User_Flow_v1.1 (1).md 168~170행</x:v>
      </x:c>
      <x:c r="O142" s="3" t="str">
        <x:f>IF(I142="통과",IF(OR(J142="",K142="",L142="",M142=""),"증거·확인자 보완",IF(J142=K142,"교차 확인 필요","완료")),IF(I142="해당 없음",IF(M142="","제외 사유 필요","범위 제외"),"진행 필요"))</x:f>
        <x:v>진행 필요</x:v>
      </x:c>
    </x:row>
    <x:row r="143" ht="46" customHeight="1">
      <x:c r="A143" s="9" t="str">
        <x:v>T-050</x:v>
      </x:c>
      <x:c r="B143" s="9" t="str">
        <x:v>필수 MVP</x:v>
      </x:c>
      <x:c r="C143" s="9" t="str">
        <x:v>구현 검증</x:v>
      </x:c>
      <x:c r="D143" s="9" t="str">
        <x:v>계정·개인정보</x:v>
      </x:c>
      <x:c r="E143" s="9" t="str">
        <x:v>선결</x:v>
      </x:c>
      <x:c r="F143" s="9" t="str">
        <x:v>타 계정의 이벤트와 조회를 분리한다.</x:v>
      </x:c>
      <x:c r="G143" s="9" t="str">
        <x:v>계정A의 session_id/executor_id를 계정B 요청에 넣고 목록·상세도 조회한다.</x:v>
      </x:c>
      <x:c r="H143" s="9" t="str">
        <x:v>서버가 인증 및 세션 소유권을 검증해 연결/노출을 거절하고 클라이언트 user_id를 신뢰하지 않는다.</x:v>
      </x:c>
      <x:c r="I143" s="11" t="str">
        <x:v>미점검</x:v>
      </x:c>
      <x:c r="J143" s="11" t="str"/>
      <x:c r="K143" s="11" t="str"/>
      <x:c r="L143" s="12" t="str"/>
      <x:c r="M143" s="11" t="str"/>
      <x:c r="N143" s="9" t="str">
        <x:v>FOCURVE_Event_Schema_v1.0(1).md 92,338행</x:v>
      </x:c>
      <x:c r="O143" s="9" t="str">
        <x:f>IF(I143="통과",IF(OR(J143="",K143="",L143="",M143=""),"증거·확인자 보완",IF(J143=K143,"교차 확인 필요","완료")),IF(I143="해당 없음",IF(M143="","제외 사유 필요","범위 제외"),"진행 필요"))</x:f>
        <x:v>진행 필요</x:v>
      </x:c>
    </x:row>
    <x:row r="144" ht="46" customHeight="1">
      <x:c r="A144" s="3" t="str">
        <x:v>T-051</x:v>
      </x:c>
      <x:c r="B144" s="3" t="str">
        <x:v>필수 MVP</x:v>
      </x:c>
      <x:c r="C144" s="3" t="str">
        <x:v>구현 검증</x:v>
      </x:c>
      <x:c r="D144" s="3" t="str">
        <x:v>계정·개인정보</x:v>
      </x:c>
      <x:c r="E144" s="3" t="str">
        <x:v>선결</x:v>
      </x:c>
      <x:c r="F144" s="3" t="str">
        <x:v>웹과 확장 중 한쪽만 해제된 상태를 구분한다.</x:v>
      </x:c>
      <x:c r="G144" s="3" t="str">
        <x:v>웹 로그아웃 성공·확장 해제 실패 및 반대 조합을 수행한다.</x:v>
      </x:c>
      <x:c r="H144" s="3" t="str">
        <x:v>완전한 연결 해제로 표시하지 않고 남은 연결 위치·재확인 방법을 안내한다.</x:v>
      </x:c>
      <x:c r="I144" s="11" t="str">
        <x:v>미점검</x:v>
      </x:c>
      <x:c r="J144" s="11" t="str"/>
      <x:c r="K144" s="11" t="str"/>
      <x:c r="L144" s="12" t="str"/>
      <x:c r="M144" s="11" t="str"/>
      <x:c r="N144" s="3" t="str">
        <x:v>FOCURVE_Task_Flow_v1.0 (1).md 754행</x:v>
      </x:c>
      <x:c r="O144" s="3" t="str">
        <x:f>IF(I144="통과",IF(OR(J144="",K144="",L144="",M144=""),"증거·확인자 보완",IF(J144=K144,"교차 확인 필요","완료")),IF(I144="해당 없음",IF(M144="","제외 사유 필요","범위 제외"),"진행 필요"))</x:f>
        <x:v>진행 필요</x:v>
      </x:c>
    </x:row>
    <x:row r="145" ht="61" customHeight="1">
      <x:c r="A145" s="9" t="str">
        <x:v>T-052</x:v>
      </x:c>
      <x:c r="B145" s="9" t="str">
        <x:v>필수 MVP</x:v>
      </x:c>
      <x:c r="C145" s="9" t="str">
        <x:v>구현 검증</x:v>
      </x:c>
      <x:c r="D145" s="9" t="str">
        <x:v>계정·개인정보</x:v>
      </x:c>
      <x:c r="E145" s="9" t="str">
        <x:v>선결</x:v>
      </x:c>
      <x:c r="F145" s="9" t="str">
        <x:v>이벤트에 필요 이상의 탐색 내용을 넣지 않는다.</x:v>
      </x:c>
      <x:c r="G145" s="9" t="str">
        <x:v>이벤트 JSON, 로컬 큐, API 요청, 오류 로그를 확인한다.</x:v>
      </x:c>
      <x:c r="H145" s="9" t="str">
        <x:v>계약에 없는 원본 URL·쿼리·검색어·페이지/영상 제목·본문이 접근 이벤트에 남지 않고 Shorts는 feature_code로 표현한다.</x:v>
      </x:c>
      <x:c r="I145" s="11" t="str">
        <x:v>미점검</x:v>
      </x:c>
      <x:c r="J145" s="11" t="str"/>
      <x:c r="K145" s="11" t="str"/>
      <x:c r="L145" s="12" t="str"/>
      <x:c r="M145" s="11" t="str"/>
      <x:c r="N145" s="9" t="str">
        <x:v>FOCURVE_Event_Schema_v1.0(1).md 138행</x:v>
      </x:c>
      <x:c r="O145" s="9" t="str">
        <x:f>IF(I145="통과",IF(OR(J145="",K145="",L145="",M145=""),"증거·확인자 보완",IF(J145=K145,"교차 확인 필요","완료")),IF(I145="해당 없음",IF(M145="","제외 사유 필요","범위 제외"),"진행 필요"))</x:f>
        <x:v>진행 필요</x:v>
      </x:c>
    </x:row>
    <x:row r="146" ht="46" customHeight="1">
      <x:c r="A146" s="3" t="str">
        <x:v>T-053</x:v>
      </x:c>
      <x:c r="B146" s="3" t="str">
        <x:v>필수 MVP</x:v>
      </x:c>
      <x:c r="C146" s="3" t="str">
        <x:v>구현 검증</x:v>
      </x:c>
      <x:c r="D146" s="3" t="str">
        <x:v>시각 구현</x:v>
      </x:c>
      <x:c r="E146" s="3" t="str">
        <x:v>중요</x:v>
      </x:c>
      <x:c r="F146" s="3" t="str">
        <x:v>구현 화면을 Figma와 같은 조건으로 비교한다.</x:v>
      </x:c>
      <x:c r="G146" s="3" t="str">
        <x:v>같은 화면 크기·데이터·상태·폰트 로딩 조건에서 캡처해 겹쳐 비교한다.</x:v>
      </x:c>
      <x:c r="H146" s="3" t="str">
        <x:v>레이아웃·텍스트·색·정렬·상태 차이를 기록하고 의도하지 않은 차이를 수정한다. 합의된 반응형 예외는 별도 기록한다.</x:v>
      </x:c>
      <x:c r="I146" s="11" t="str">
        <x:v>미점검</x:v>
      </x:c>
      <x:c r="J146" s="11" t="str"/>
      <x:c r="K146" s="11" t="str"/>
      <x:c r="L146" s="12" t="str"/>
      <x:c r="M146" s="11" t="str"/>
      <x:c r="N146" s="3" t="str">
        <x:v>UI 일관성·수치 정합성·개발 수용 기준</x:v>
      </x:c>
      <x:c r="O146" s="3" t="str">
        <x:f>IF(I146="통과",IF(OR(J146="",K146="",L146="",M146=""),"증거·확인자 보완",IF(J146=K146,"교차 확인 필요","완료")),IF(I146="해당 없음",IF(M146="","제외 사유 필요","범위 제외"),"진행 필요"))</x:f>
        <x:v>진행 필요</x:v>
      </x:c>
    </x:row>
    <x:row r="147" ht="46" customHeight="1">
      <x:c r="A147" s="9" t="str">
        <x:v>T-054</x:v>
      </x:c>
      <x:c r="B147" s="9" t="str">
        <x:v>공통</x:v>
      </x:c>
      <x:c r="C147" s="9" t="str">
        <x:v>구현 검증</x:v>
      </x:c>
      <x:c r="D147" s="9" t="str">
        <x:v>키보드·확대</x:v>
      </x:c>
      <x:c r="E147" s="9" t="str">
        <x:v>중요</x:v>
      </x:c>
      <x:c r="F147" s="9" t="str">
        <x:v>키보드와 화면 확대에서 핵심 과제를 마친다.</x:v>
      </x:c>
      <x:c r="G147" s="9" t="str">
        <x:v>마우스 없이 로그인→등록→시작→종료를 수행하고 확대/축소로 점검한다.</x:v>
      </x:c>
      <x:c r="H147" s="9" t="str">
        <x:v>포커스가 보이고 팝업·확인창에서 갇히지 않는다. 주요 버튼·에러·입력값이 잘리지 않는다.</x:v>
      </x:c>
      <x:c r="I147" s="11" t="str">
        <x:v>미점검</x:v>
      </x:c>
      <x:c r="J147" s="11" t="str"/>
      <x:c r="K147" s="11" t="str"/>
      <x:c r="L147" s="12" t="str"/>
      <x:c r="M147" s="11" t="str"/>
      <x:c r="N147" s="9" t="str">
        <x:v>UI 일관성·수치 정합성·개발 수용 기준</x:v>
      </x:c>
      <x:c r="O147" s="9" t="str">
        <x:f>IF(I147="통과",IF(OR(J147="",K147="",L147="",M147=""),"증거·확인자 보완",IF(J147=K147,"교차 확인 필요","완료")),IF(I147="해당 없음",IF(M147="","제외 사유 필요","범위 제외"),"진행 필요"))</x:f>
        <x:v>진행 필요</x:v>
      </x:c>
    </x:row>
    <x:row r="148" ht="74" customHeight="1">
      <x:c r="A148" s="26" t="str">
        <x:v>T-055</x:v>
      </x:c>
      <x:c r="B148" s="26" t="str">
        <x:v>필수 MVP</x:v>
      </x:c>
      <x:c r="C148" s="26" t="str">
        <x:v>구현 검증</x:v>
      </x:c>
      <x:c r="D148" s="26" t="str">
        <x:v>화면 모드</x:v>
      </x:c>
      <x:c r="E148" s="26" t="str">
        <x:v>중요</x:v>
      </x:c>
      <x:c r="F148" s="26" t="str">
        <x:v>라이트·다크 전환이 웹 전체에 즉시 적용된다.</x:v>
      </x:c>
      <x:c r="G148" s="26" t="str">
        <x:v>설정의 화면 모드를 양방향 전환하고 대시보드·목록·상세·모달을 확인한다.</x:v>
      </x:c>
      <x:c r="H148" s="26" t="str">
        <x:v>선택 상태와 실제 테마가 같고 모든 웹 공통 컴포넌트에 적용된다.</x:v>
      </x:c>
      <x:c r="I148" s="29" t="str">
        <x:v>미점검</x:v>
      </x:c>
      <x:c r="J148" s="29"/>
      <x:c r="K148" s="29"/>
      <x:c r="L148" s="29"/>
      <x:c r="M148" s="29"/>
      <x:c r="N148" s="26" t="str">
        <x:v>SETTING-01_화면_모드_설정_명세.md · 기능 SETTING-02</x:v>
      </x:c>
      <x:c r="O148" s="26" t="str">
        <x:f>IF(I148="통과",IF(OR(J148="",K148="",L148="",M148=""),"증거·확인자 보완",IF(J148=K148,"교차 확인 필요","완료")),IF(I148="해당 없음",IF(M148="","제외 사유 필요","범위 제외"),"진행 필요"))</x:f>
        <x:v>진행 필요</x:v>
      </x:c>
    </x:row>
    <x:row r="149" ht="74" customHeight="1">
      <x:c r="A149" s="26" t="str">
        <x:v>T-056</x:v>
      </x:c>
      <x:c r="B149" s="26" t="str">
        <x:v>필수 MVP</x:v>
      </x:c>
      <x:c r="C149" s="26" t="str">
        <x:v>구현 검증</x:v>
      </x:c>
      <x:c r="D149" s="26" t="str">
        <x:v>화면 모드</x:v>
      </x:c>
      <x:c r="E149" s="26" t="str">
        <x:v>중요</x:v>
      </x:c>
      <x:c r="F149" s="26" t="str">
        <x:v>첫 방문과 재접속의 화면 모드가 일치한다.</x:v>
      </x:c>
      <x:c r="G149" s="26" t="str">
        <x:v>저장값 없는 첫 방문, 다크 선택 후 새로고침·재접속, 로그아웃·재로그인을 수행한다.</x:v>
      </x:c>
      <x:c r="H149" s="26" t="str">
        <x:v>첫 방문은 라이트이며 저장 성공한 선택은 같은 브라우저에서 유지된다. 계정 변경은 테마를 초기화하지 않는다.</x:v>
      </x:c>
      <x:c r="I149" s="29" t="str">
        <x:v>미점검</x:v>
      </x:c>
      <x:c r="J149" s="29"/>
      <x:c r="K149" s="29"/>
      <x:c r="L149" s="29"/>
      <x:c r="M149" s="29"/>
      <x:c r="N149" s="26" t="str">
        <x:v>SETTING-01_화면_모드_설정_명세.md · 기능 SETTING-02</x:v>
      </x:c>
      <x:c r="O149" s="26" t="str">
        <x:f>IF(I149="통과",IF(OR(J149="",K149="",L149="",M149=""),"증거·확인자 보완",IF(J149=K149,"교차 확인 필요","완료")),IF(I149="해당 없음",IF(M149="","제외 사유 필요","범위 제외"),"진행 필요"))</x:f>
        <x:v>진행 필요</x:v>
      </x:c>
    </x:row>
    <x:row r="150" ht="74" customHeight="1">
      <x:c r="A150" s="26" t="str">
        <x:v>T-057</x:v>
      </x:c>
      <x:c r="B150" s="26" t="str">
        <x:v>필수 MVP</x:v>
      </x:c>
      <x:c r="C150" s="26" t="str">
        <x:v>구현 검증</x:v>
      </x:c>
      <x:c r="D150" s="26" t="str">
        <x:v>화면 모드</x:v>
      </x:c>
      <x:c r="E150" s="26" t="str">
        <x:v>중요</x:v>
      </x:c>
      <x:c r="F150" s="26" t="str">
        <x:v>화면 모드 저장 실패와 잘못된 저장값을 처리한다.</x:v>
      </x:c>
      <x:c r="G150" s="26" t="str">
        <x:v>로컬 저장 쓰기를 실패시킨 후 재시도한다. 읽기 불가와 잘못된 값으로도 진입한다.</x:v>
      </x:c>
      <x:c r="H150" s="26" t="str">
        <x:v>쓰기에 실패해도 현재 선택을 적용하고 저장 실패 안내와 다시 저장을 제공한다. 읽기 불가·잘못된 값은 라이트로 표시한다.</x:v>
      </x:c>
      <x:c r="I150" s="29" t="str">
        <x:v>미점검</x:v>
      </x:c>
      <x:c r="J150" s="29"/>
      <x:c r="K150" s="29"/>
      <x:c r="L150" s="29"/>
      <x:c r="M150" s="29"/>
      <x:c r="N150" s="26" t="str">
        <x:v>SETTING-01_화면_모드_설정_명세.md · 기능 SETTING-02</x:v>
      </x:c>
      <x:c r="O150" s="26" t="str">
        <x:f>IF(I150="통과",IF(OR(J150="",K150="",L150="",M150=""),"증거·확인자 보완",IF(J150=K150,"교차 확인 필요","완료")),IF(I150="해당 없음",IF(M150="","제외 사유 필요","범위 제외"),"진행 필요"))</x:f>
        <x:v>진행 필요</x:v>
      </x:c>
    </x:row>
    <x:row r="151" ht="74" customHeight="1">
      <x:c r="A151" s="26" t="str">
        <x:v>T-058</x:v>
      </x:c>
      <x:c r="B151" s="26" t="str">
        <x:v>필수 MVP</x:v>
      </x:c>
      <x:c r="C151" s="26" t="str">
        <x:v>구현 검증</x:v>
      </x:c>
      <x:c r="D151" s="26" t="str">
        <x:v>화면 모드</x:v>
      </x:c>
      <x:c r="E151" s="26" t="str">
        <x:v>중요</x:v>
      </x:c>
      <x:c r="F151" s="26" t="str">
        <x:v>화면 모드 변경이 진행 상태와 데이터를 바꾸지 않는다.</x:v>
      </x:c>
      <x:c r="G151" s="26" t="str">
        <x:v>세션 진행 중·폼 입력 중 테마를 전환하고 입력값·타이머·정책·기록을 비교한다.</x:v>
      </x:c>
      <x:c r="H151" s="26" t="str">
        <x:v>화면 새로고침이나 세션 재시작 없이 테마만 바뀌고 입력·세션·정책·기록을 유지한다.</x:v>
      </x:c>
      <x:c r="I151" s="29" t="str">
        <x:v>미점검</x:v>
      </x:c>
      <x:c r="J151" s="29"/>
      <x:c r="K151" s="29"/>
      <x:c r="L151" s="29"/>
      <x:c r="M151" s="29"/>
      <x:c r="N151" s="26" t="str">
        <x:v>SETTING-01_화면_모드_설정_명세.md · 기능 SETTING-02</x:v>
      </x:c>
      <x:c r="O151" s="26" t="str">
        <x:f>IF(I151="통과",IF(OR(J151="",K151="",L151="",M151=""),"증거·확인자 보완",IF(J151=K151,"교차 확인 필요","완료")),IF(I151="해당 없음",IF(M151="","제외 사유 필요","범위 제외"),"진행 필요"))</x:f>
        <x:v>진행 필요</x:v>
      </x:c>
    </x:row>
    <x:row r="152" ht="74" customHeight="1">
      <x:c r="A152" s="26" t="str">
        <x:v>T-059</x:v>
      </x:c>
      <x:c r="B152" s="26" t="str">
        <x:v>필수 MVP</x:v>
      </x:c>
      <x:c r="C152" s="26" t="str">
        <x:v>구현 검증</x:v>
      </x:c>
      <x:c r="D152" s="26" t="str">
        <x:v>화면 모드</x:v>
      </x:c>
      <x:c r="E152" s="26" t="str">
        <x:v>중요</x:v>
      </x:c>
      <x:c r="F152" s="26" t="str">
        <x:v>화면 모드 선택을 키보드로 이용할 수 있다.</x:v>
      </x:c>
      <x:c r="G152" s="26" t="str">
        <x:v>Tab으로 진입한 뒤 방향키로 선택하고 두 모드에서 포커스·선택 표시를 확인한다.</x:v>
      </x:c>
      <x:c r="H152" s="26" t="str">
        <x:v>화면 모드 그룹과 라이트/다크 라벨·선택 상태가 전달되고 키보드 포커스가 보인다. 선택을 색상만으로 구분하지 않는다.</x:v>
      </x:c>
      <x:c r="I152" s="29" t="str">
        <x:v>미점검</x:v>
      </x:c>
      <x:c r="J152" s="29"/>
      <x:c r="K152" s="29"/>
      <x:c r="L152" s="29"/>
      <x:c r="M152" s="29"/>
      <x:c r="N152" s="26" t="str">
        <x:v>SETTING-01_화면_모드_설정_명세.md · 기능 SETTING-02</x:v>
      </x:c>
      <x:c r="O152" s="26" t="str">
        <x:f>IF(I152="통과",IF(OR(J152="",K152="",L152="",M152=""),"증거·확인자 보완",IF(J152=K152,"교차 확인 필요","완료")),IF(I152="해당 없음",IF(M152="","제외 사유 필요","범위 제외"),"진행 필요"))</x:f>
        <x:v>진행 필요</x:v>
      </x:c>
    </x:row>
    <x:row r="153" ht="74" customHeight="1">
      <x:c r="A153" s="26" t="str">
        <x:v>T-060</x:v>
      </x:c>
      <x:c r="B153" s="26" t="str">
        <x:v>필수 MVP</x:v>
      </x:c>
      <x:c r="C153" s="26" t="str">
        <x:v>구현 검증</x:v>
      </x:c>
      <x:c r="D153" s="26" t="str">
        <x:v>화면 모드</x:v>
      </x:c>
      <x:c r="E153" s="26" t="str">
        <x:v>중요</x:v>
      </x:c>
      <x:c r="F153" s="26" t="str">
        <x:v>웹 테마 범위와 Low-Fi 표현을 구분한다.</x:v>
      </x:c>
      <x:c r="G153" s="26" t="str">
        <x:v>기본·추가 High-Fi의 라이트/다크 설정 화면 및 Low-Fi 상태를 대조한다.</x:v>
      </x:c>
      <x:c r="H153" s="26" t="str">
        <x:v>같은 기능 범위의 반대 테마로 연결된다. Low-Fi는 회색을 유지한다. OS 자동 테마·계정 동기화·확장 테마 전환은 추가하지 않는다.</x:v>
      </x:c>
      <x:c r="I153" s="29" t="str">
        <x:v>미점검</x:v>
      </x:c>
      <x:c r="J153" s="29"/>
      <x:c r="K153" s="29"/>
      <x:c r="L153" s="29"/>
      <x:c r="M153" s="29"/>
      <x:c r="N153" s="26" t="str">
        <x:v>SETTING-01_화면_모드_설정_명세.md · 기능 SETTING-02</x:v>
      </x:c>
      <x:c r="O153" s="26" t="str">
        <x:f>IF(I153="통과",IF(OR(J153="",K153="",L153="",M153=""),"증거·확인자 보완",IF(J153=K153,"교차 확인 필요","완료")),IF(I153="해당 없음",IF(M153="","제외 사유 필요","범위 제외"),"진행 필요"))</x:f>
        <x:v>진행 필요</x:v>
      </x:c>
    </x:row>
    <x:row r="154" ht="75" customHeight="1">
      <x:c r="A154" s="30" t="str">
        <x:v>T-A01</x:v>
      </x:c>
      <x:c r="B154" s="30" t="str">
        <x:v>학기 필수 추가</x:v>
      </x:c>
      <x:c r="C154" s="30" t="str">
        <x:v>구현 검증</x:v>
      </x:c>
      <x:c r="D154" s="30" t="str">
        <x:v>추천 콘텐츠 제한</x:v>
      </x:c>
      <x:c r="E154" s="30" t="str">
        <x:v>중요</x:v>
      </x:c>
      <x:c r="F154" s="30" t="str">
        <x:v>YouTube 추천 콘텐츠와 Instagram 추천 피드 영역의 선택적 숨김</x:v>
      </x:c>
      <x:c r="G154" s="30" t="str">
        <x:v>정상·실패·복구 및 기본 기능 회귀 시나리오 실행</x:v>
      </x:c>
      <x:c r="H154" s="30" t="str">
        <x:v>직접 진입·내부 이동·새로고침에서도 지정 영역만 제한</x:v>
      </x:c>
      <x:c r="I154" s="30" t="str">
        <x:v>미점검</x:v>
      </x:c>
      <x:c r="J154" s="30"/>
      <x:c r="K154" s="30"/>
      <x:c r="L154" s="30"/>
      <x:c r="M154" s="30"/>
      <x:c r="N154" s="30" t="str">
        <x:v>OPTION-01 / 추가 기능 설계</x:v>
      </x:c>
      <x:c r="O154" s="30" t="str">
        <x:f>IF(I154="통과",IF(OR(J154="",K154="",L154="",M154=""),"증거·확인자 보완",IF(J154=K154,"교차 확인 필요","완료")),IF(I154="해당 없음",IF(M154="","제외 사유 필요","범위 제외"),"진행 필요"))</x:f>
        <x:v>진행 필요</x:v>
      </x:c>
    </x:row>
    <x:row r="155" ht="75" customHeight="1">
      <x:c r="A155" s="30" t="str">
        <x:v>T-A02</x:v>
      </x:c>
      <x:c r="B155" s="30" t="str">
        <x:v>학기 필수 추가</x:v>
      </x:c>
      <x:c r="C155" s="30" t="str">
        <x:v>구현 검증</x:v>
      </x:c>
      <x:c r="D155" s="30" t="str">
        <x:v>댓글 제한</x:v>
      </x:c>
      <x:c r="E155" s="30" t="str">
        <x:v>중요</x:v>
      </x:c>
      <x:c r="F155" s="30" t="str">
        <x:v>YouTube 댓글 영역의 선택적 숨김</x:v>
      </x:c>
      <x:c r="G155" s="30" t="str">
        <x:v>정상·실패·복구 및 기본 기능 회귀 시나리오 실행</x:v>
      </x:c>
      <x:c r="H155" s="30" t="str">
        <x:v>일반 영상 재생을 유지하고 댓글만 숨김·복원</x:v>
      </x:c>
      <x:c r="I155" s="30" t="str">
        <x:v>미점검</x:v>
      </x:c>
      <x:c r="J155" s="30"/>
      <x:c r="K155" s="30"/>
      <x:c r="L155" s="30"/>
      <x:c r="M155" s="30"/>
      <x:c r="N155" s="30" t="str">
        <x:v>OPTION-02 / 추가 기능 설계</x:v>
      </x:c>
      <x:c r="O155" s="30" t="str">
        <x:f>IF(I155="통과",IF(OR(J155="",K155="",L155="",M155=""),"증거·확인자 보완",IF(J155=K155,"교차 확인 필요","완료")),IF(I155="해당 없음",IF(M155="","제외 사유 필요","범위 제외"),"진행 필요"))</x:f>
        <x:v>진행 필요</x:v>
      </x:c>
    </x:row>
    <x:row r="156" ht="75" customHeight="1">
      <x:c r="A156" s="30" t="str">
        <x:v>T-A03</x:v>
      </x:c>
      <x:c r="B156" s="30" t="str">
        <x:v>학기 필수 추가</x:v>
      </x:c>
      <x:c r="C156" s="30" t="str">
        <x:v>구현 검증</x:v>
      </x:c>
      <x:c r="D156" s="30" t="str">
        <x:v>자동재생 제한</x:v>
      </x:c>
      <x:c r="E156" s="30" t="str">
        <x:v>중요</x:v>
      </x:c>
      <x:c r="F156" s="30" t="str">
        <x:v>다음 영상 자동재생 제한</x:v>
      </x:c>
      <x:c r="G156" s="30" t="str">
        <x:v>정상·실패·복구 및 기본 기능 회귀 시나리오 실행</x:v>
      </x:c>
      <x:c r="H156" s="30" t="str">
        <x:v>일반 수동 재생을 막지 않고 자동재생만 제한</x:v>
      </x:c>
      <x:c r="I156" s="30" t="str">
        <x:v>미점검</x:v>
      </x:c>
      <x:c r="J156" s="30"/>
      <x:c r="K156" s="30"/>
      <x:c r="L156" s="30"/>
      <x:c r="M156" s="30"/>
      <x:c r="N156" s="30" t="str">
        <x:v>OPTION-03 / 추가 기능 설계</x:v>
      </x:c>
      <x:c r="O156" s="30" t="str">
        <x:f>IF(I156="통과",IF(OR(J156="",K156="",L156="",M156=""),"증거·확인자 보완",IF(J156=K156,"교차 확인 필요","완료")),IF(I156="해당 없음",IF(M156="","제외 사유 필요","범위 제외"),"진행 필요"))</x:f>
        <x:v>진행 필요</x:v>
      </x:c>
    </x:row>
    <x:row r="157" ht="75" customHeight="1">
      <x:c r="A157" s="30" t="str">
        <x:v>T-A04</x:v>
      </x:c>
      <x:c r="B157" s="30" t="str">
        <x:v>학기 필수 추가</x:v>
      </x:c>
      <x:c r="C157" s="30" t="str">
        <x:v>구현 검증</x:v>
      </x:c>
      <x:c r="D157" s="30" t="str">
        <x:v>집중 예약</x:v>
      </x:c>
      <x:c r="E157" s="30" t="str">
        <x:v>중요</x:v>
      </x:c>
      <x:c r="F157" s="30" t="str">
        <x:v>예약 등록·수정·삭제, 요일·시각·집중 시간 설정</x:v>
      </x:c>
      <x:c r="G157" s="30" t="str">
        <x:v>정상·실패·복구 및 기본 기능 회귀 시나리오 실행</x:v>
      </x:c>
      <x:c r="H157" s="30" t="str">
        <x:v>예약 1건이 중복 세션을 만들지 않고 실행·건너뜀 결과를 표시</x:v>
      </x:c>
      <x:c r="I157" s="30" t="str">
        <x:v>미점검</x:v>
      </x:c>
      <x:c r="J157" s="30"/>
      <x:c r="K157" s="30"/>
      <x:c r="L157" s="30"/>
      <x:c r="M157" s="30"/>
      <x:c r="N157" s="30" t="str">
        <x:v>OPTION-04 / 추가 기능 설계</x:v>
      </x:c>
      <x:c r="O157" s="30" t="str">
        <x:f>IF(I157="통과",IF(OR(J157="",K157="",L157="",M157=""),"증거·확인자 보완",IF(J157=K157,"교차 확인 필요","완료")),IF(I157="해당 없음",IF(M157="","제외 사유 필요","범위 제외"),"진행 필요"))</x:f>
        <x:v>진행 필요</x:v>
      </x:c>
    </x:row>
    <x:row r="158" ht="75" customHeight="1">
      <x:c r="A158" s="30" t="str">
        <x:v>T-A05</x:v>
      </x:c>
      <x:c r="B158" s="30" t="str">
        <x:v>학기 필수 추가</x:v>
      </x:c>
      <x:c r="C158" s="30" t="str">
        <x:v>구현 검증</x:v>
      </x:c>
      <x:c r="D158" s="30" t="str">
        <x:v>지원 서비스 확대</x:v>
      </x:c>
      <x:c r="E158" s="30" t="str">
        <x:v>중요</x:v>
      </x:c>
      <x:c r="F158" s="30" t="str">
        <x:v>Instagram Reels 등 서비스 내부 기능 제한</x:v>
      </x:c>
      <x:c r="G158" s="30" t="str">
        <x:v>정상·실패·복구 및 기본 기능 회귀 시나리오 실행</x:v>
      </x:c>
      <x:c r="H158" s="30" t="str">
        <x:v>Reels만 제한하고 허용 영역 유지, 전체 차단과 중복 집계 없음</x:v>
      </x:c>
      <x:c r="I158" s="30" t="str">
        <x:v>미점검</x:v>
      </x:c>
      <x:c r="J158" s="30"/>
      <x:c r="K158" s="30"/>
      <x:c r="L158" s="30"/>
      <x:c r="M158" s="30"/>
      <x:c r="N158" s="30" t="str">
        <x:v>OPTION-05 / 추가 기능 설계</x:v>
      </x:c>
      <x:c r="O158" s="30" t="str">
        <x:f>IF(I158="통과",IF(OR(J158="",K158="",L158="",M158=""),"증거·확인자 보완",IF(J158=K158,"교차 확인 필요","완료")),IF(I158="해당 없음",IF(M158="","제외 사유 필요","범위 제외"),"진행 필요"))</x:f>
        <x:v>진행 필요</x:v>
      </x:c>
    </x:row>
    <x:row r="159" ht="75" customHeight="1">
      <x:c r="A159" s="30" t="str">
        <x:v>T-A06</x:v>
      </x:c>
      <x:c r="B159" s="30" t="str">
        <x:v>학기 필수 추가</x:v>
      </x:c>
      <x:c r="C159" s="30" t="str">
        <x:v>구현 검증</x:v>
      </x:c>
      <x:c r="D159" s="30" t="str">
        <x:v>사이트 이용 시간</x:v>
      </x:c>
      <x:c r="E159" s="30" t="str">
        <x:v>중요</x:v>
      </x:c>
      <x:c r="F159" s="30" t="str">
        <x:v>등록 사이트의 이용 시간을 기간·사이트별 조회</x:v>
      </x:c>
      <x:c r="G159" s="30" t="str">
        <x:v>정상·실패·복구 및 기본 기능 회귀 시나리오 실행</x:v>
      </x:c>
      <x:c r="H159" s="30" t="str">
        <x:v>동시 탭·유휴 시간을 중복 계산하지 않고 시간 합계 일치</x:v>
      </x:c>
      <x:c r="I159" s="30" t="str">
        <x:v>미점검</x:v>
      </x:c>
      <x:c r="J159" s="30"/>
      <x:c r="K159" s="30"/>
      <x:c r="L159" s="30"/>
      <x:c r="M159" s="30"/>
      <x:c r="N159" s="30" t="str">
        <x:v>OPTION-06 / 추가 기능 설계</x:v>
      </x:c>
      <x:c r="O159" s="30" t="str">
        <x:f>IF(I159="통과",IF(OR(J159="",K159="",L159="",M159=""),"증거·확인자 보완",IF(J159=K159,"교차 확인 필요","완료")),IF(I159="해당 없음",IF(M159="","제외 사유 필요","범위 제외"),"진행 필요"))</x:f>
        <x:v>진행 필요</x:v>
      </x:c>
    </x:row>
    <x:row r="160" ht="75" customHeight="1">
      <x:c r="A160" s="30" t="str">
        <x:v>T-A07</x:v>
      </x:c>
      <x:c r="B160" s="30" t="str">
        <x:v>학기 필수 추가</x:v>
      </x:c>
      <x:c r="C160" s="30" t="str">
        <x:v>구현 검증</x:v>
      </x:c>
      <x:c r="D160" s="30" t="str">
        <x:v>행동 기반 지표</x:v>
      </x:c>
      <x:c r="E160" s="30" t="str">
        <x:v>중요</x:v>
      </x:c>
      <x:c r="F160" s="30" t="str">
        <x:v>반복 비율 및 행동 패턴 지표</x:v>
      </x:c>
      <x:c r="G160" s="30" t="str">
        <x:v>정상·실패·복구 및 기본 기능 회귀 시나리오 실행</x:v>
      </x:c>
      <x:c r="H160" s="30" t="str">
        <x:v>기준 데이터로 재현 가능, 데이터 부족과 0을 구분</x:v>
      </x:c>
      <x:c r="I160" s="30" t="str">
        <x:v>미점검</x:v>
      </x:c>
      <x:c r="J160" s="30"/>
      <x:c r="K160" s="30"/>
      <x:c r="L160" s="30"/>
      <x:c r="M160" s="30"/>
      <x:c r="N160" s="30" t="str">
        <x:v>OPTION-07 / 추가 기능 설계</x:v>
      </x:c>
      <x:c r="O160" s="30" t="str">
        <x:f>IF(I160="통과",IF(OR(J160="",K160="",L160="",M160=""),"증거·확인자 보완",IF(J160=K160,"교차 확인 필요","완료")),IF(I160="해당 없음",IF(M160="","제외 사유 필요","범위 제외"),"진행 필요"))</x:f>
        <x:v>진행 필요</x:v>
      </x:c>
    </x:row>
    <x:row r="161" ht="75" customHeight="1">
      <x:c r="A161" s="30" t="str">
        <x:v>T-A08</x:v>
      </x:c>
      <x:c r="B161" s="30" t="str">
        <x:v>학기 필수 추가</x:v>
      </x:c>
      <x:c r="C161" s="30" t="str">
        <x:v>구현 검증</x:v>
      </x:c>
      <x:c r="D161" s="30" t="str">
        <x:v>시간대별 패턴·확장 분석</x:v>
      </x:c>
      <x:c r="E161" s="30" t="str">
        <x:v>중요</x:v>
      </x:c>
      <x:c r="F161" s="30" t="str">
        <x:v>시간대별 접근·반복 분포와 기간 분석</x:v>
      </x:c>
      <x:c r="G161" s="30" t="str">
        <x:v>정상·실패·복구 및 기본 기능 회귀 시나리오 실행</x:v>
      </x:c>
      <x:c r="H161" s="30" t="str">
        <x:v>시간대 합계와 전체·반복 합계가 같은 원본 기준으로 일치</x:v>
      </x:c>
      <x:c r="I161" s="30" t="str">
        <x:v>미점검</x:v>
      </x:c>
      <x:c r="J161" s="30"/>
      <x:c r="K161" s="30"/>
      <x:c r="L161" s="30"/>
      <x:c r="M161" s="30"/>
      <x:c r="N161" s="30" t="str">
        <x:v>OPTION-08 / 추가 기능 설계</x:v>
      </x:c>
      <x:c r="O161" s="30" t="str">
        <x:f>IF(I161="통과",IF(OR(J161="",K161="",L161="",M161=""),"증거·확인자 보완",IF(J161=K161,"교차 확인 필요","완료")),IF(I161="해당 없음",IF(M161="","제외 사유 필요","범위 제외"),"진행 필요"))</x:f>
        <x:v>진행 필요</x:v>
      </x:c>
    </x:row>
    <x:row r="162" ht="75" customHeight="1">
      <x:c r="A162" s="30" t="str">
        <x:v>T-A09</x:v>
      </x:c>
      <x:c r="B162" s="30" t="str">
        <x:v>학기 필수 추가</x:v>
      </x:c>
      <x:c r="C162" s="30" t="str">
        <x:v>구현 검증</x:v>
      </x:c>
      <x:c r="D162" s="30" t="str">
        <x:v>키워드 제한</x:v>
      </x:c>
      <x:c r="E162" s="30" t="str">
        <x:v>중요</x:v>
      </x:c>
      <x:c r="F162" s="30" t="str">
        <x:v>키워드·검사 위치·예외 사이트 관리</x:v>
      </x:c>
      <x:c r="G162" s="30" t="str">
        <x:v>정상·실패·복구 및 기본 기능 회귀 시나리오 실행</x:v>
      </x:c>
      <x:c r="H162" s="30" t="str">
        <x:v>허용 예외와 제한 대상이 구분되고 정책 충돌 시 중복 기록 없음</x:v>
      </x:c>
      <x:c r="I162" s="30" t="str">
        <x:v>미점검</x:v>
      </x:c>
      <x:c r="J162" s="30"/>
      <x:c r="K162" s="30"/>
      <x:c r="L162" s="30"/>
      <x:c r="M162" s="30"/>
      <x:c r="N162" s="30" t="str">
        <x:v>OPTION-09 / 추가 기능 설계</x:v>
      </x:c>
      <x:c r="O162" s="30" t="str">
        <x:f>IF(I162="통과",IF(OR(J162="",K162="",L162="",M162=""),"증거·확인자 보완",IF(J162=K162,"교차 확인 필요","완료")),IF(I162="해당 없음",IF(M162="","제외 사유 필요","범위 제외"),"진행 필요"))</x:f>
        <x:v>진행 필요</x:v>
      </x:c>
    </x:row>
    <x:row r="163" ht="75" customHeight="1">
      <x:c r="A163" s="30" t="str">
        <x:v>T-A10</x:v>
      </x:c>
      <x:c r="B163" s="30" t="str">
        <x:v>학기 필수 추가</x:v>
      </x:c>
      <x:c r="C163" s="30" t="str">
        <x:v>구현 검증</x:v>
      </x:c>
      <x:c r="D163" s="30" t="str">
        <x:v>성인 사이트 제한</x:v>
      </x:c>
      <x:c r="E163" s="30" t="str">
        <x:v>중요</x:v>
      </x:c>
      <x:c r="F163" s="30" t="str">
        <x:v>활성화·도메인 목록·예외·제한 결과</x:v>
      </x:c>
      <x:c r="G163" s="30" t="str">
        <x:v>정상·실패·복구 및 기본 기능 회귀 시나리오 실행</x:v>
      </x:c>
      <x:c r="H163" s="30" t="str">
        <x:v>정상 학습 사이트 오차단·예외·실패 시 안내를 검증</x:v>
      </x:c>
      <x:c r="I163" s="30" t="str">
        <x:v>미점검</x:v>
      </x:c>
      <x:c r="J163" s="30"/>
      <x:c r="K163" s="30"/>
      <x:c r="L163" s="30"/>
      <x:c r="M163" s="30"/>
      <x:c r="N163" s="30" t="str">
        <x:v>OPTION-10 / 추가 기능 설계</x:v>
      </x:c>
      <x:c r="O163" s="30" t="str">
        <x:f>IF(I163="통과",IF(OR(J163="",K163="",L163="",M163=""),"증거·확인자 보완",IF(J163=K163,"교차 확인 필요","완료")),IF(I163="해당 없음",IF(M163="","제외 사유 필요","범위 제외"),"진행 필요"))</x:f>
        <x:v>진행 필요</x:v>
      </x:c>
    </x:row>
    <x:row r="164" ht="75" customHeight="1">
      <x:c r="A164" s="30" t="str">
        <x:v>T-A11</x:v>
      </x:c>
      <x:c r="B164" s="30" t="str">
        <x:v>학기 필수 추가</x:v>
      </x:c>
      <x:c r="C164" s="30" t="str">
        <x:v>구현 검증</x:v>
      </x:c>
      <x:c r="D164" s="30" t="str">
        <x:v>민감 이미지 블러</x:v>
      </x:c>
      <x:c r="E164" s="30" t="str">
        <x:v>중요</x:v>
      </x:c>
      <x:c r="F164" s="30" t="str">
        <x:v>활성화·민감도·일시 확인·오탐 처리</x:v>
      </x:c>
      <x:c r="G164" s="30" t="str">
        <x:v>정상·실패·복구 및 기본 기능 회귀 시나리오 실행</x:v>
      </x:c>
      <x:c r="H164" s="30" t="str">
        <x:v>지원 환경에서 블러·일시 확인·복원, 오탐·성능·정보 처리 검증</x:v>
      </x:c>
      <x:c r="I164" s="30" t="str">
        <x:v>미점검</x:v>
      </x:c>
      <x:c r="J164" s="30"/>
      <x:c r="K164" s="30"/>
      <x:c r="L164" s="30"/>
      <x:c r="M164" s="30"/>
      <x:c r="N164" s="30" t="str">
        <x:v>OPTION-11 / 추가 기능 설계</x:v>
      </x:c>
      <x:c r="O164" s="30" t="str">
        <x:f>IF(I164="통과",IF(OR(J164="",K164="",L164="",M164=""),"증거·확인자 보완",IF(J164=K164,"교차 확인 필요","완료")),IF(I164="해당 없음",IF(M164="","제외 사유 필요","범위 제외"),"진행 필요"))</x:f>
        <x:v>진행 필요</x:v>
      </x:c>
    </x:row>
    <x:row r="165" ht="75" customHeight="1">
      <x:c r="A165" s="30" t="str">
        <x:v>T-A12</x:v>
      </x:c>
      <x:c r="B165" s="30" t="str">
        <x:v>학기 필수 추가</x:v>
      </x:c>
      <x:c r="C165" s="30" t="str">
        <x:v>구현 검증</x:v>
      </x:c>
      <x:c r="D165" s="30" t="str">
        <x:v>행동 기반 AI 피드백</x:v>
      </x:c>
      <x:c r="E165" s="30" t="str">
        <x:v>중요</x:v>
      </x:c>
      <x:c r="F165" s="30" t="str">
        <x:v>기록 요약·패턴 설명·설정 조정 후보 제공</x:v>
      </x:c>
      <x:c r="G165" s="30" t="str">
        <x:v>정상·실패·복구 및 기본 기능 회귀 시나리오 실행</x:v>
      </x:c>
      <x:c r="H165" s="30" t="str">
        <x:v>분석 중·기록 부족·실패 구분, 사용자 확인 없는 정책 변경 없음</x:v>
      </x:c>
      <x:c r="I165" s="30" t="str">
        <x:v>미점검</x:v>
      </x:c>
      <x:c r="J165" s="30"/>
      <x:c r="K165" s="30"/>
      <x:c r="L165" s="30"/>
      <x:c r="M165" s="30"/>
      <x:c r="N165" s="30" t="str">
        <x:v>OPTION-12 / 추가 기능 설계</x:v>
      </x:c>
      <x:c r="O165" s="30" t="str">
        <x:f>IF(I165="통과",IF(OR(J165="",K165="",L165="",M165=""),"증거·확인자 보완",IF(J165=K165,"교차 확인 필요","완료")),IF(I165="해당 없음",IF(M165="","제외 사유 필요","범위 제외"),"진행 필요"))</x:f>
        <x:v>진행 필요</x:v>
      </x:c>
    </x:row>
    <x:row r="166" ht="75" customHeight="1">
      <x:c r="A166" s="30" t="str">
        <x:v>T-A13</x:v>
      </x:c>
      <x:c r="B166" s="30" t="str">
        <x:v>학기 필수 추가</x:v>
      </x:c>
      <x:c r="C166" s="30" t="str">
        <x:v>구현 검증</x:v>
      </x:c>
      <x:c r="D166" s="30" t="str">
        <x:v>일시정지·재개</x:v>
      </x:c>
      <x:c r="E166" s="30" t="str">
        <x:v>중요</x:v>
      </x:c>
      <x:c r="F166" s="30" t="str">
        <x:v>세션 일시정지와 재개</x:v>
      </x:c>
      <x:c r="G166" s="30" t="str">
        <x:v>정상·실패·복구 및 기본 기능 회귀 시나리오 실행</x:v>
      </x:c>
      <x:c r="H166" s="30" t="str">
        <x:v>정지·재개 시 실제 정책 상태와 시간·집계가 일치</x:v>
      </x:c>
      <x:c r="I166" s="30" t="str">
        <x:v>미점검</x:v>
      </x:c>
      <x:c r="J166" s="30"/>
      <x:c r="K166" s="30"/>
      <x:c r="L166" s="30"/>
      <x:c r="M166" s="30"/>
      <x:c r="N166" s="30" t="str">
        <x:v>SESSION-05 / 추가 기능 설계</x:v>
      </x:c>
      <x:c r="O166" s="30" t="str">
        <x:f>IF(I166="통과",IF(OR(J166="",K166="",L166="",M166=""),"증거·확인자 보완",IF(J166=K166,"교차 확인 필요","완료")),IF(I166="해당 없음",IF(M166="","제외 사유 필요","범위 제외"),"진행 필요"))</x:f>
        <x:v>진행 필요</x:v>
      </x:c>
    </x:row>
    <x:row r="167" ht="75" customHeight="1">
      <x:c r="A167" s="30" t="str">
        <x:v>T-A14</x:v>
      </x:c>
      <x:c r="B167" s="30" t="str">
        <x:v>학기 필수 추가</x:v>
      </x:c>
      <x:c r="C167" s="30" t="str">
        <x:v>구현 검증</x:v>
      </x:c>
      <x:c r="D167" s="30" t="str">
        <x:v>세션 메모</x:v>
      </x:c>
      <x:c r="E167" s="30" t="str">
        <x:v>중요</x:v>
      </x:c>
      <x:c r="F167" s="30" t="str">
        <x:v>세션별 선택 메모 저장·조회</x:v>
      </x:c>
      <x:c r="G167" s="30" t="str">
        <x:v>정상·실패·복구 및 기본 기능 회귀 시나리오 실행</x:v>
      </x:c>
      <x:c r="H167" s="30" t="str">
        <x:v>저장 실패 시 입력 유지, 세션·계정 연결 정확</x:v>
      </x:c>
      <x:c r="I167" s="30" t="str">
        <x:v>미점검</x:v>
      </x:c>
      <x:c r="J167" s="30"/>
      <x:c r="K167" s="30"/>
      <x:c r="L167" s="30"/>
      <x:c r="M167" s="30"/>
      <x:c r="N167" s="30" t="str">
        <x:v>SESSION-06 / 추가 기능 설계</x:v>
      </x:c>
      <x:c r="O167" s="30" t="str">
        <x:f>IF(I167="통과",IF(OR(J167="",K167="",L167="",M167=""),"증거·확인자 보완",IF(J167=K167,"교차 확인 필요","완료")),IF(I167="해당 없음",IF(M167="","제외 사유 필요","범위 제외"),"진행 필요"))</x:f>
        <x:v>진행 필요</x:v>
      </x:c>
    </x:row>
  </x:sheetData>
  <x:mergeCells>
    <x:mergeCell ref="A1:F1"/>
    <x:mergeCell ref="A2:F3"/>
  </x:mergeCells>
  <x:conditionalFormatting sqref="I6:I147">
    <x:cfRule type="expression" dxfId="0" priority="1">
      <x:formula>$I6="통과"</x:formula>
    </x:cfRule>
    <x:cfRule type="expression" dxfId="1" priority="2">
      <x:formula>$I6="보완 필요"</x:formula>
    </x:cfRule>
    <x:cfRule type="expression" dxfId="2" priority="3">
      <x:formula>$I6="차단됨"</x:formula>
    </x:cfRule>
    <x:cfRule type="expression" dxfId="3" priority="4">
      <x:formula>$I6="검토 중"</x:formula>
    </x:cfRule>
    <x:cfRule type="expression" dxfId="4" priority="5">
      <x:formula>$I6="해당 없음"</x:formula>
    </x:cfRule>
    <x:cfRule type="expression" dxfId="5" priority="6">
      <x:formula>$I6="미해결"</x:formula>
    </x:cfRule>
    <x:cfRule type="expression" dxfId="6" priority="7">
      <x:formula>$I6="해결"</x:formula>
    </x:cfRule>
  </x:conditionalFormatting>
  <x:conditionalFormatting sqref="I148:I153">
    <x:cfRule type="expression" dxfId="21" priority="8">
      <x:formula>$I148="통과"</x:formula>
    </x:cfRule>
    <x:cfRule type="expression" dxfId="22" priority="9">
      <x:formula>$I148="보완 필요"</x:formula>
    </x:cfRule>
    <x:cfRule type="expression" dxfId="23" priority="10">
      <x:formula>$I148="차단됨"</x:formula>
    </x:cfRule>
    <x:cfRule type="expression" dxfId="24" priority="11">
      <x:formula>$I148="검토 중"</x:formula>
    </x:cfRule>
    <x:cfRule type="expression" dxfId="25" priority="12">
      <x:formula>$I148="해당 없음"</x:formula>
    </x:cfRule>
    <x:cfRule type="expression" dxfId="26" priority="13">
      <x:formula>$I148="미해결"</x:formula>
    </x:cfRule>
    <x:cfRule type="expression" dxfId="27" priority="14">
      <x:formula>$I148="해결"</x:formula>
    </x:cfRule>
  </x:conditionalFormatting>
  <x:dataValidations count="5">
    <x:dataValidation type="list" sqref="I6:I147">
      <x:formula1>"미점검,검토 중,통과,보완 필요,차단됨,해당 없음"</x:formula1>
    </x:dataValidation>
    <x:dataValidation type="list" sqref="E6:E147">
      <x:formula1>"선결,중요,보완"</x:formula1>
    </x:dataValidation>
    <x:dataValidation type="list" sqref="I148:I153">
      <x:formula1>"미점검,검토 중,통과,보완 필요,차단됨,해당 없음"</x:formula1>
    </x:dataValidation>
    <x:dataValidation type="list" sqref="E148:E153">
      <x:formula1>"선결,중요,보완"</x:formula1>
    </x:dataValidation>
    <x:dataValidation type="list" sqref="I154:I167">
      <x:formula1>"미점검,검토 중,통과,보완 필요,차단됨,해당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597439c04a40df"/>
  </x:tableParts>
</x:worksheet>
</file>

<file path=xl/worksheets/sheet3.xml><?xml version="1.0" encoding="utf-8"?>
<x:worksheet xmlns:x="http://schemas.openxmlformats.org/spreadsheetml/2006/main">
  <x:sheetPr>
    <x:tabColor rgb="FF246CE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4399995803833" hidden="0" customWidth="1"/>
    <x:col min="2" max="2" width="10" hidden="0" customWidth="1"/>
    <x:col min="3" max="3" width="13.890000343322754" hidden="0" customWidth="1"/>
    <x:col min="4" max="4" width="30.559999465942383" hidden="0" customWidth="1"/>
    <x:col min="5" max="5" width="54.439998626708984" hidden="0" customWidth="1"/>
    <x:col min="6" max="6" width="37.220001220703125" hidden="0" customWidth="1"/>
    <x:col min="7" max="7" width="43.33000183105469" hidden="0" customWidth="1"/>
    <x:col min="8" max="8" width="11.109999656677246" hidden="0" customWidth="1"/>
    <x:col min="9" max="9" width="10.5600004196167" hidden="0" customWidth="1"/>
    <x:col min="10" max="10" width="11.670000076293945" hidden="0" customWidth="1"/>
    <x:col min="11" max="11" width="39.439998626708984" hidden="0" customWidth="1"/>
    <x:col min="12" max="12" width="17.219999313354492" hidden="0" customWidth="1"/>
  </x:cols>
  <x:sheetData>
    <x:row r="1" ht="38" customHeight="1">
      <x:c r="A1" s="5" t="str">
        <x:v>먼저 결정할 사항 · 문서 교차 검토 결과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</x:row>
    <x:row r="2" ht="26" customHeight="1">
      <x:c r="A2" s="7" t="str">
        <x:v>설계 문서에서 확인한 충돌·미확정·추적 공백입니다. 실제 제품 오류 판정은 아닙니다. 선결/중요는 검토 순서이며 구현 오류의 P0/P1/P2와 구별합니다.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</x:row>
    <x:row r="3" ht="26" customHeight="1">
      <x:c r="A3" s="7"/>
      <x:c r="B3" s="7"/>
      <x:c r="C3" s="7"/>
      <x:c r="D3" s="7"/>
      <x:c r="E3" s="7"/>
      <x:c r="F3" s="7"/>
      <x:c r="G3" s="3"/>
      <x:c r="H3" s="3"/>
      <x:c r="I3" s="3"/>
      <x:c r="J3" s="3"/>
      <x:c r="K3" s="3"/>
      <x:c r="L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8" t="str">
        <x:v>이슈 ID</x:v>
      </x:c>
      <x:c r="B5" s="8" t="str">
        <x:v>검토 우선</x:v>
      </x:c>
      <x:c r="C5" s="8" t="str">
        <x:v>발견 구분</x:v>
      </x:c>
      <x:c r="D5" s="8" t="str">
        <x:v>발견한 내용</x:v>
      </x:c>
      <x:c r="E5" s="8" t="str">
        <x:v>설계 근거</x:v>
      </x:c>
      <x:c r="F5" s="8" t="str">
        <x:v>영향</x:v>
      </x:c>
      <x:c r="G5" s="8" t="str">
        <x:v>결정·보완할 내용</x:v>
      </x:c>
      <x:c r="H5" s="8" t="str">
        <x:v>해결 상태</x:v>
      </x:c>
      <x:c r="I5" s="8" t="str">
        <x:v>담당자</x:v>
      </x:c>
      <x:c r="J5" s="8" t="str">
        <x:v>결정일</x:v>
      </x:c>
      <x:c r="K5" s="8" t="str">
        <x:v>최종 결정·수정 링크</x:v>
      </x:c>
      <x:c r="L5" s="8" t="str">
        <x:v>재확인자 / 결과</x:v>
      </x:c>
    </x:row>
    <x:row r="6" ht="91" customHeight="1">
      <x:c r="A6" s="3" t="str">
        <x:v>ISS-01</x:v>
      </x:c>
      <x:c r="B6" s="3" t="str">
        <x:v>선결</x:v>
      </x:c>
      <x:c r="C6" s="3" t="str">
        <x:v>추적 보완</x:v>
      </x:c>
      <x:c r="D6" s="3" t="str">
        <x:v>추가 기능의 화면·API·데이터·검증 계약 확정</x:v>
      </x:c>
      <x:c r="E6" s="3" t="str">
        <x:v>기능 범위 및 설계 기준 · 설계 결정사항 · Task Flow · 개발 계획</x:v>
      </x:c>
      <x:c r="F6" s="3" t="str">
        <x:v>기본·추가 기능은 학기 내 범위다. 미작성 전용 화면과 세부 데이터 계약은 개발 전 확정해야 한다.</x:v>
      </x:c>
      <x:c r="G6" s="3" t="str">
        <x:v>기능 범위 및 설계 기준의 모든 추가 기능을 화면·API·DB·이벤트·테스트에 연결한다. PC는 웹 전체 완료 후 조건부 착수한다.</x:v>
      </x:c>
      <x:c r="H6" s="11" t="str">
        <x:v>미해결</x:v>
      </x:c>
      <x:c r="I6" s="11" t="str"/>
      <x:c r="J6" s="12" t="str"/>
      <x:c r="K6" s="11" t="str"/>
      <x:c r="L6" s="11" t="str"/>
    </x:row>
    <x:row r="7" ht="136" customHeight="1">
      <x:c r="A7" s="9" t="str">
        <x:v>ISS-02</x:v>
      </x:c>
      <x:c r="B7" s="9" t="str">
        <x:v>선결</x:v>
      </x:c>
      <x:c r="C7" s="9" t="str">
        <x:v>추적 보완</x:v>
      </x:c>
      <x:c r="D7" s="9" t="str">
        <x:v>소셜 인증 제공자·콜백 계약 확정</x:v>
      </x:c>
      <x:c r="E7" s="9" t="str">
        <x:v>기능 범위 및 설계 기준 · 설계 결정사항 · Task Flow · 개발 계획</x:v>
      </x:c>
      <x:c r="F7" s="9" t="str">
        <x:v>AUTH-05는 기본 범위이며 제공자·실패·취소·계정 연결 계약이 필요하다.</x:v>
      </x:c>
      <x:c r="G7" s="9" t="str">
        <x:v>지원 제공자, 콜백·취소·실패·중복 계정 처리, 기능 ID와 로그인/회원가입 화면·API를 확정한다.</x:v>
      </x:c>
      <x:c r="H7" s="11" t="str">
        <x:v>미해결</x:v>
      </x:c>
      <x:c r="I7" s="11" t="str"/>
      <x:c r="J7" s="12" t="str"/>
      <x:c r="K7" s="11" t="str"/>
      <x:c r="L7" s="11" t="str"/>
    </x:row>
    <x:row r="8" ht="106" customHeight="1">
      <x:c r="A8" s="3" t="str">
        <x:v>ISS-03</x:v>
      </x:c>
      <x:c r="B8" s="3" t="str">
        <x:v>선결</x:v>
      </x:c>
      <x:c r="C8" s="3" t="str">
        <x:v>추적 보완</x:v>
      </x:c>
      <x:c r="D8" s="3" t="str">
        <x:v>사이트 설정 삭제 후 과거 기록 유지의 구현 정합성</x:v>
      </x:c>
      <x:c r="E8" s="3" t="str">
        <x:v>기능 범위 및 설계 기준 · 설계 결정사항 · Task Flow · 개발 계획</x:v>
      </x:c>
      <x:c r="F8" s="3" t="str">
        <x:v>설정 삭제는 과거 기록·통계를 삭제하지 않는다. 당시 정책·대상과 조회 관계를 보존해야 한다.</x:v>
      </x:c>
      <x:c r="G8" s="3" t="str">
        <x:v>TF-03·API·ERD·재전송·통계에서 과거 기록 유지와 명시적 기록 삭제를 구분해 검증한다.</x:v>
      </x:c>
      <x:c r="H8" s="11" t="str">
        <x:v>미해결</x:v>
      </x:c>
      <x:c r="I8" s="11" t="str"/>
      <x:c r="J8" s="12" t="str"/>
      <x:c r="K8" s="11" t="str"/>
      <x:c r="L8" s="11" t="str"/>
    </x:row>
    <x:row r="9" ht="166" customHeight="1">
      <x:c r="A9" s="9" t="str">
        <x:v>ISS-04</x:v>
      </x:c>
      <x:c r="B9" s="9" t="str">
        <x:v>선결</x:v>
      </x:c>
      <x:c r="C9" s="9" t="str">
        <x:v>정의 확인</x:v>
      </x:c>
      <x:c r="D9" s="9" t="str">
        <x:v>반복 판정 순서 및 키가 PDF와 최신 Event Schema에서 다름</x:v>
      </x:c>
      <x:c r="E9" s="9" t="str">
        <x:v>FOCURVE_프로젝트_기획안_v1.0_20260918(2).pdf p.58, 반복 접근 기준: 같은 사이트
FOCURVE_프로젝트_기획안_v1.0_20260918(2).pdf p.78–81, §6.3: 사이트 또는 기능, 발생 시각 순
FOCURVE_프로젝트_기획안_v1.0_20260918(2).pdf p.144, §1.3: 시간 간격·대상 상세기획 확정 문구
FOCURVE_Event_Schema_v1.0(1).md §6 L153–168, §10 L220–232</x:v>
      </x:c>
      <x:c r="F9" s="9" t="str">
        <x:v>PDF p79는 발생시각 순으로 순번을 정하지만 Event Schema는 access_seq로 반복 순서를 계산한다. PDF p144는 시간 간격 기준 미확정처럼 서술해 p58의 시간 간격 무관 정의와 상충 소지가 있다.</x:v>
      </x:c>
      <x:c r="G9" s="9" t="str">
        <x:v>반복 키/순서(접근 순번과 UI 정렬 분리)/자정·지연 도착·동률 규칙을 Event Schema와 PDF·API·ERD·통계에 통일한다.</x:v>
      </x:c>
      <x:c r="H9" s="11" t="str">
        <x:v>미해결</x:v>
      </x:c>
      <x:c r="I9" s="11" t="str"/>
      <x:c r="J9" s="12" t="str"/>
      <x:c r="K9" s="11" t="str"/>
      <x:c r="L9" s="11" t="str"/>
    </x:row>
    <x:row r="10" ht="106" customHeight="1">
      <x:c r="A10" s="3" t="str">
        <x:v>ISS-05</x:v>
      </x:c>
      <x:c r="B10" s="3" t="str">
        <x:v>선결</x:v>
      </x:c>
      <x:c r="C10" s="3" t="str">
        <x:v>정의 확인</x:v>
      </x:c>
      <x:c r="D10" s="3" t="str">
        <x:v>기록 삭제·회원탈퇴에 대한 기능 목록과 화면/API 추적 필요</x:v>
      </x:c>
      <x:c r="E10" s="3" t="str">
        <x:v>FOCURVE_프로젝트_기획안_v1.0_20260918(2).pdf p.69–70, §5.3
FOCURVE_프로젝트_기획안_v1.0_20260918(2).pdf p.73, 로그아웃·탈퇴 후 접근 통제
FOCURVE_기능_목록_v1.0.xlsx 시트1!A2:H29</x:v>
      </x:c>
      <x:c r="F10" s="3" t="str">
        <x:v>기능목록에는 회원가입·로그인·로그아웃과 사이트 삭제는 있으나 회원탈퇴·행동기록 삭제 기능 항목은 없다. 제안된 보관/삭제 약속을 사용자가 실행할 경로와 실제 처리 증거가 필요하다.</x:v>
      </x:c>
      <x:c r="G10" s="3" t="str">
        <x:v>기능 ID, UI 진입·확인·실패/진행 상태, API·ERD 삭제 정책과 전송대기 재유입 방지를 추가 검토한다. 관련 계약의 정의와 실행 검증을 구분한다.</x:v>
      </x:c>
      <x:c r="H10" s="11" t="str">
        <x:v>미해결</x:v>
      </x:c>
      <x:c r="I10" s="11" t="str"/>
      <x:c r="J10" s="12" t="str"/>
      <x:c r="K10" s="11" t="str"/>
      <x:c r="L10" s="11" t="str"/>
    </x:row>
    <x:row r="11" ht="121" customHeight="1">
      <x:c r="A11" s="9" t="str">
        <x:v>ISS-06</x:v>
      </x:c>
      <x:c r="B11" s="9" t="str">
        <x:v>선결</x:v>
      </x:c>
      <x:c r="C11" s="9" t="str">
        <x:v>정의 확인</x:v>
      </x:c>
      <x:c r="D11" s="9" t="str">
        <x:v>비회원 보관·자료 이전 계약 확정</x:v>
      </x:c>
      <x:c r="E11" s="9" t="str">
        <x:v>기능 범위 및 설계 기준 · 설계 결정사항 · Task Flow · 개발 계획</x:v>
      </x:c>
      <x:c r="F11" s="9" t="str">
        <x:v>AUTH-04·IMPORT-01·02는 기본 범위다. 비회원 보관 기간과 성공 원본 처리 정책은 DEC-01·02에서 확정한다.</x:v>
      </x:c>
      <x:c r="G11" s="9" t="str">
        <x:v>세부 정책을 결정하고 화면·API·로컬 데이터·테스트에 같은 값을 적용한다.</x:v>
      </x:c>
      <x:c r="H11" s="11" t="str">
        <x:v>미해결</x:v>
      </x:c>
      <x:c r="I11" s="11" t="str"/>
      <x:c r="J11" s="12" t="str"/>
      <x:c r="K11" s="11" t="str"/>
      <x:c r="L11" s="11" t="str"/>
    </x:row>
    <x:row r="12" ht="121" customHeight="1">
      <x:c r="A12" s="3" t="str">
        <x:v>ISS-07</x:v>
      </x:c>
      <x:c r="B12" s="3" t="str">
        <x:v>선결</x:v>
      </x:c>
      <x:c r="C12" s="3" t="str">
        <x:v>정의 확인</x:v>
      </x:c>
      <x:c r="D12" s="3" t="str">
        <x:v>사이트 전체 차단 정책의 실행 검증</x:v>
      </x:c>
      <x:c r="E12" s="3" t="str">
        <x:v>기능 범위 및 설계 기준 · 설계 결정사항 · Task Flow · 개발 계획</x:v>
      </x:c>
      <x:c r="F12" s="3" t="str">
        <x:v>SESSION-04는 저장된 사이트별 차단 정책 적용이다. 기록 방식 사이트를 일괄 차단하는 전역 override가 아니다.</x:v>
      </x:c>
      <x:c r="G12" s="3" t="str">
        <x:v>사이트별 정책 스냅샷과 실제 제어·기록 결과를 대조한다.</x:v>
      </x:c>
      <x:c r="H12" s="11" t="str">
        <x:v>미해결</x:v>
      </x:c>
      <x:c r="I12" s="11" t="str"/>
      <x:c r="J12" s="12" t="str"/>
      <x:c r="K12" s="11" t="str"/>
      <x:c r="L12" s="11" t="str"/>
    </x:row>
    <x:row r="13" ht="196" customHeight="1">
      <x:c r="A13" s="9" t="str">
        <x:v>ISS-08</x:v>
      </x:c>
      <x:c r="B13" s="9" t="str">
        <x:v>중요</x:v>
      </x:c>
      <x:c r="C13" s="9" t="str">
        <x:v>정의 확인</x:v>
      </x:c>
      <x:c r="D13" s="9" t="str">
        <x:v>AI 피드백과 자동 정책 변경의 경계</x:v>
      </x:c>
      <x:c r="E13" s="9" t="str">
        <x:v>기능 범위 및 설계 기준 · 설계 결정사항 · Task Flow · 개발 계획</x:v>
      </x:c>
      <x:c r="F13" s="9" t="str">
        <x:v>AI 피드백 OPTION-12는 학기 필수 추가다. 사용자 확인 없는 자동 분류·정책 변경은 제외한다.</x:v>
      </x:c>
      <x:c r="G13" s="9" t="str">
        <x:v>요약·제안·부족·실패·재시도와 직접 설정 변경 경로를 검증한다.</x:v>
      </x:c>
      <x:c r="H13" s="11" t="str">
        <x:v>미해결</x:v>
      </x:c>
      <x:c r="I13" s="11" t="str"/>
      <x:c r="J13" s="12" t="str"/>
      <x:c r="K13" s="11" t="str"/>
      <x:c r="L13" s="11" t="str"/>
    </x:row>
    <x:row r="14" ht="151" customHeight="1">
      <x:c r="A14" s="3" t="str">
        <x:v>ISS-09</x:v>
      </x:c>
      <x:c r="B14" s="3" t="str">
        <x:v>선결</x:v>
      </x:c>
      <x:c r="C14" s="3" t="str">
        <x:v>계약 연결 필요</x:v>
      </x:c>
      <x:c r="D14" s="3" t="str">
        <x:v>기본·추가 공통 구현 계약과 작업 배정</x:v>
      </x:c>
      <x:c r="E14" s="3" t="str">
        <x:v>기능 범위 및 설계 기준 · 설계 결정사항 · Task Flow · 개발 계획</x:v>
      </x:c>
      <x:c r="F14" s="3" t="str">
        <x:v>기본 ERD·API·이벤트·개발 계획은 별도 문서로 관리한다. 추가 계약과 개인별 작업 배정은 설계 완료 조건이다.</x:v>
      </x:c>
      <x:c r="G14" s="3" t="str">
        <x:v>설계 결정사항·개발 계획에 따라 계약·담당·기한·수용 테스트를 연결한다.</x:v>
      </x:c>
      <x:c r="H14" s="11" t="str">
        <x:v>미해결</x:v>
      </x:c>
      <x:c r="I14" s="11" t="str"/>
      <x:c r="J14" s="12" t="str"/>
      <x:c r="K14" s="11" t="str"/>
      <x:c r="L14" s="11" t="str"/>
    </x:row>
    <x:row r="15" ht="166" customHeight="1">
      <x:c r="A15" s="9" t="str">
        <x:v>ISS-10</x:v>
      </x:c>
      <x:c r="B15" s="9" t="str">
        <x:v>선결</x:v>
      </x:c>
      <x:c r="C15" s="9" t="str">
        <x:v>결정 필요</x:v>
      </x:c>
      <x:c r="D15" s="9" t="str">
        <x:v>비회원 기록 보관 기간은 아직 최종 확정되지 않음</x:v>
      </x:c>
      <x:c r="E15" s="9" t="str">
        <x:v>FOCURVE_User_Flow_v1.1 (1).md 156,161행
“세션·접근 기록 보관: 발생 시각 기준 최근 90일 / 가져오기 대상: 유효한 최근 90일 기록”
FOCURVE_IA_v1.2 (1).md 106행
“기록은 발생일부터 90일간 보관하는 초안”
FOCURVE_Event_Schema_v1.0(1).md 17행
“비회원 기록 보관 90일 초안과 최신 정책표의 30일 제안은 아직 통일되지 않았다.”</x:v>
      </x:c>
      <x:c r="F15" s="9" t="str">
        <x:v>만료 자료 삭제·가져오기·화면 안내의 구현이 다르게 될 수 있고 반복 판정의 원본이 불완전해질 수 있다.</x:v>
      </x:c>
      <x:c r="G15" s="9" t="str">
        <x:v>30일/90일 중 임의 채택하지 말고 최종 기간, 발생일 경계, 부분 만료 세션 처리, 미전송 자료 예외를 결정한 후 전 문서·화면에 같은 정책 버전을 적용한다.</x:v>
      </x:c>
      <x:c r="H15" s="11" t="str">
        <x:v>미해결</x:v>
      </x:c>
      <x:c r="I15" s="11" t="str"/>
      <x:c r="J15" s="12" t="str"/>
      <x:c r="K15" s="11" t="str"/>
      <x:c r="L15" s="11" t="str"/>
    </x:row>
    <x:row r="16" ht="61" customHeight="1">
      <x:c r="A16" s="3" t="str">
        <x:v>ISS-11</x:v>
      </x:c>
      <x:c r="B16" s="3" t="str">
        <x:v>선결</x:v>
      </x:c>
      <x:c r="C16" s="3" t="str">
        <x:v>문서 내 충돌</x:v>
      </x:c>
      <x:c r="D16" s="3" t="str">
        <x:v>동일 접근의 행동 유형 충돌 처리 문장이 서로 다름</x:v>
      </x:c>
      <x:c r="E16" s="3" t="str">
        <x:v>FOCURVE_Event_Schema_v1.0(1).md 177행
“정책 기준 확인 필요로 처리, 둘 다 집계하지 않음 | 기존 유효 자료 유지, 충돌 자료 제외”</x:v>
      </x:c>
      <x:c r="F16" s="3" t="str">
        <x:v>먼저 유효하게 집계한 이벤트까지 취소할지, 신규 충돌 건만 제외할지에 따라 대시보드 횟수와 반복 여부가 달라진다.</x:v>
      </x:c>
      <x:c r="G16" s="3" t="str">
        <x:v>기존 유효 건 유지 또는 양쪽 보류 중 한 규칙을 결정하고 응답 코드, 집계 상태, 이의 해소 뒤 재계산 기준까지 명시한다.</x:v>
      </x:c>
      <x:c r="H16" s="11" t="str">
        <x:v>미해결</x:v>
      </x:c>
      <x:c r="I16" s="11" t="str"/>
      <x:c r="J16" s="12" t="str"/>
      <x:c r="K16" s="11" t="str"/>
      <x:c r="L16" s="11" t="str"/>
    </x:row>
    <x:row r="17" ht="121" customHeight="1">
      <x:c r="A17" s="9" t="str">
        <x:v>ISS-12</x:v>
      </x:c>
      <x:c r="B17" s="9" t="str">
        <x:v>선결</x:v>
      </x:c>
      <x:c r="C17" s="9" t="str">
        <x:v>문서 간 해석 차이</x:v>
      </x:c>
      <x:c r="D17" s="9" t="str">
        <x:v>자동 리디렉션의 다른 대상 도달은 접근 경계 정의를 통일해야 함</x:v>
      </x:c>
      <x:c r="E17" s="9" t="str">
        <x:v>FOCURVE_Task_Flow_v1.0 (1).md 479행
“자동 리디렉션, 리소스 요청은 사이트 접근 횟수에서 제외한다.”
FOCURVE_Event_Schema_v1.0(1).md 51~52행
“리디렉션으로 같은 등록 대상에 도달: 같은 탐색·같은 대상이라면 중복 기록하지 않음 / 새로 다른 관리 대상에 도달: 다른 대상에 대한 평가로 별도 접근 가능”</x:v>
      </x:c>
      <x:c r="F17" s="9" t="str">
        <x:v>동일한 탐색을 Extension 구현자가 0건, 1건 또는 대상별 여러 건으로 다르게 집계할 수 있다.</x:v>
      </x:c>
      <x:c r="G17" s="9" t="str">
        <x:v>동일 대상 리디렉션과 다른 등록 대상 리디렉션을 구분한 예제 및 기대 건수를 확정하고 TF-08과 Event Schema에 동시에 반영한다.</x:v>
      </x:c>
      <x:c r="H17" s="11" t="str">
        <x:v>미해결</x:v>
      </x:c>
      <x:c r="I17" s="11" t="str"/>
      <x:c r="J17" s="12" t="str"/>
      <x:c r="K17" s="11" t="str"/>
      <x:c r="L17" s="11" t="str"/>
    </x:row>
    <x:row r="18" ht="181" customHeight="1">
      <x:c r="A18" s="3" t="str">
        <x:v>ISS-13</x:v>
      </x:c>
      <x:c r="B18" s="3" t="str">
        <x:v>선결</x:v>
      </x:c>
      <x:c r="C18" s="3" t="str">
        <x:v>설계 연결 누락</x:v>
      </x:c>
      <x:c r="D18" s="3" t="str">
        <x:v>중단된 세션의 복구 및 결과 화면 연결이 MD 흐름에 부족함</x:v>
      </x:c>
      <x:c r="E18" s="3" t="str">
        <x:v>FOCURVE_Event_Schema_v1.0(1).md 207~212행
“INTERRUPTED / LAST_CONFIRMED / 지표 처리는 핵심 정책표의 신규 제안에 따른다.”
FOCURVE_Task_Flow_v1.0 (1).md 375~408행
“종료 선택 또는 시간 만료로 진입하는 TF-07에는 중단·재기동 확인 경로가 없음”
FOCURVE_LowFi_설계.md 199,280행
“완료 지표에는 진행 중 세션을 합산하지 않음 / 팝업을 닫아도 세션 상태는 별도로 유지”</x:v>
      </x:c>
      <x:c r="F18" s="3" t="str">
        <x:v>브라우저 종료·재시작·권한 상실·절전 뒤 실제 제한과 화면의 진행/완료 표시가 어긋날 수 있다.</x:v>
      </x:c>
      <x:c r="G18" s="3" t="str">
        <x:v>계속 실행, 중단 확정, 해제 확인 필요의 판단 기준과 마지막 실행 확인 시각을 정하고 사용자 흐름·상태 화면·집계 기준에 연결한다. 현재 UI를 실물 검증한 결과는 아니다.</x:v>
      </x:c>
      <x:c r="H18" s="11" t="str">
        <x:v>미해결</x:v>
      </x:c>
      <x:c r="I18" s="11" t="str"/>
      <x:c r="J18" s="12" t="str"/>
      <x:c r="K18" s="11" t="str"/>
      <x:c r="L18" s="11" t="str"/>
    </x:row>
    <x:row r="19" ht="196" customHeight="1">
      <x:c r="A19" s="9" t="str">
        <x:v>ISS-14</x:v>
      </x:c>
      <x:c r="B19" s="9" t="str">
        <x:v>선결</x:v>
      </x:c>
      <x:c r="C19" s="9" t="str">
        <x:v>결정 필요</x:v>
      </x:c>
      <x:c r="D19" s="9" t="str">
        <x:v>자정을 넘긴 세션 시간의 일별 귀속과 조기 종료 집계가 미완성</x:v>
      </x:c>
      <x:c r="E19" s="9" t="str">
        <x:v>FOCURVE_Event_Schema_v1.0(1).md 168행
“반복을 먼저 세션 전체 기준으로 계산한 뒤 날짜·검색 필터를 적용한다.”
FOCURVE_LowFi_설계.md 82~93행
“오늘 집중 시간 90분 / 세션 준비·진행은 완료 1회·60분, 종료 후 2회·90분”
FOCURVE_Task_Flow_v1.0 (1).md 584행
“세션 시간은 시작·종료 사이의 경과 시간”
FOCURVE_Event_Schema_v1.0(1).md 206~216행
“논리적 종료 시각과 해제 확인 시각을 구분, USER_ENDED와 INTERRUPTED를 별도로 둠”</x:v>
      </x:c>
      <x:c r="F19" s="9" t="str">
        <x:v>오늘 집중 시간·완료 세션 수·기간 합계가 서로 다를 수 있다. 예시 두 건 모두 정상 완료라 경계 정책이 검증되지 않는다.</x:v>
      </x:c>
      <x:c r="G19" s="9" t="str">
        <x:v>23:50~00:20 세션의 일별 시간과 완료 세션 귀속, 직접 종료/중단 세션의 시간 포함 여부, 분 표시 반올림을 결정하고 예시를 추가한다.</x:v>
      </x:c>
      <x:c r="H19" s="11" t="str">
        <x:v>미해결</x:v>
      </x:c>
      <x:c r="I19" s="11" t="str"/>
      <x:c r="J19" s="12" t="str"/>
      <x:c r="K19" s="11" t="str"/>
      <x:c r="L19" s="11" t="str"/>
    </x:row>
    <x:row r="20" ht="151" customHeight="1">
      <x:c r="A20" s="3" t="str">
        <x:v>ISS-15</x:v>
      </x:c>
      <x:c r="B20" s="3" t="str">
        <x:v>선결</x:v>
      </x:c>
      <x:c r="C20" s="3" t="str">
        <x:v>결정 필요</x:v>
      </x:c>
      <x:c r="D20" s="3" t="str">
        <x:v>로그아웃 시 로컬 정리·손실 안내 검증</x:v>
      </x:c>
      <x:c r="E20" s="3" t="str">
        <x:v>기능 범위 및 설계 기준 · 설계 결정사항 · Task Flow · 개발 계획</x:v>
      </x:c>
      <x:c r="F20" s="3" t="str">
        <x:v>로그아웃은 해당 계정의 로컬 자료를 정리하고 서버 기록을 유지한다. 미전송 자료의 손실 가능성 안내와 취소 경로가 필요하다.</x:v>
      </x:c>
      <x:c r="G20" s="3" t="str">
        <x:v>진행 세션 종료·해제 확인, 미전송 경고, 취소·유지, 계정별 정리, 다른 계정 오전송 방지를 검증한다.</x:v>
      </x:c>
      <x:c r="H20" s="11" t="str">
        <x:v>미해결</x:v>
      </x:c>
      <x:c r="I20" s="11" t="str"/>
      <x:c r="J20" s="12" t="str"/>
      <x:c r="K20" s="11" t="str"/>
      <x:c r="L20" s="11" t="str"/>
    </x:row>
    <x:row r="21" ht="121" customHeight="1">
      <x:c r="A21" s="9" t="str">
        <x:v>ISS-16</x:v>
      </x:c>
      <x:c r="B21" s="9" t="str">
        <x:v>선결</x:v>
      </x:c>
      <x:c r="C21" s="9" t="str">
        <x:v>결정 필요</x:v>
      </x:c>
      <x:c r="D21" s="9" t="str">
        <x:v>자료 이전의 완료 단위와 다른 계정 재이전 정책을 확정해야 함</x:v>
      </x:c>
      <x:c r="E21" s="9" t="str">
        <x:v>FOCURVE_User_Flow_v1.1 (1).md 164~165행
“서버 저장이 확인된 항목만 이전 완료 처리하고 해당 로컬 원본을 정리”
FOCURVE_Event_Schema_v1.0(1).md 360~362행
“원본 세션 정책과 대상 설명 자료도 가져와야 함 / 한 세션과 관련 이벤트가 완전히 반영되기 전 성공 표시 금지 / 타 계정 재이전 및 원본 정리는 제안 상태”</x:v>
      </x:c>
      <x:c r="F21" s="9" t="str">
        <x:v>일부 이벤트만 성공한 상태에서 세션 정책이나 원본을 지우면 재시도·과거 설명·반복 재계산이 불가능해질 수 있다.</x:v>
      </x:c>
      <x:c r="G21" s="9" t="str">
        <x:v>설정 항목과 기록 세션의 각각 성공 단위, 부분 실패 보존 범위, 계정 간 원본 재이전 허용 여부와 매핑 유일성을 결정한다.</x:v>
      </x:c>
      <x:c r="H21" s="11" t="str">
        <x:v>미해결</x:v>
      </x:c>
      <x:c r="I21" s="11" t="str"/>
      <x:c r="J21" s="12" t="str"/>
      <x:c r="K21" s="11" t="str"/>
      <x:c r="L21" s="11" t="str"/>
    </x:row>
    <x:row r="22" ht="91" customHeight="1">
      <x:c r="A22" s="3" t="str">
        <x:v>ISS-17</x:v>
      </x:c>
      <x:c r="B22" s="3" t="str">
        <x:v>중요</x:v>
      </x:c>
      <x:c r="C22" s="3" t="str">
        <x:v>결정 필요</x:v>
      </x:c>
      <x:c r="D22" s="3" t="str">
        <x:v>서로 포함되는 사이트 범위의 가져오기 충돌 규칙 연결 필요</x:v>
      </x:c>
      <x:c r="E22" s="3" t="str">
        <x:v>FOCURVE_Task_Flow_v1.0 (1).md 40,101~102행
“하위 도메인 포함 기본 / 동일하거나 서로 포함되는 범위 중복 등록 방지”
FOCURVE_User_Flow_v1.1 (1).md 162행
“새 사이트만 추가. 같은 사이트의 분류·정책은 기존 계정 설정 유지”</x:v>
      </x:c>
      <x:c r="F22" s="3" t="str">
        <x:v>계정에 example.com(하위 포함), 비회원에 www.example.com이 있을 때 단순 같은 문자열 비교로 중복 정책이 생성될 수 있다.</x:v>
      </x:c>
      <x:c r="G22" s="3" t="str">
        <x:v>가져오기 충돌에도 등록과 동일한 정규화·포함 관계 검사 적용 여부와 계정 정책 우선 안내를 확정한다.</x:v>
      </x:c>
      <x:c r="H22" s="11" t="str">
        <x:v>미해결</x:v>
      </x:c>
      <x:c r="I22" s="11" t="str"/>
      <x:c r="J22" s="12" t="str"/>
      <x:c r="K22" s="11" t="str"/>
      <x:c r="L22" s="11" t="str"/>
    </x:row>
    <x:row r="23" ht="226" customHeight="1">
      <x:c r="A23" s="9" t="str">
        <x:v>ISS-18</x:v>
      </x:c>
      <x:c r="B23" s="9" t="str">
        <x:v>중요</x:v>
      </x:c>
      <x:c r="C23" s="9" t="str">
        <x:v>상세 결정 필요</x:v>
      </x:c>
      <x:c r="D23" s="9" t="str">
        <x:v>12개 화면 중 9개는 항목별 상세 엑셀 명세가 제공되지 않음</x:v>
      </x:c>
      <x:c r="E23" s="9" t="str">
        <x:v>FOCURVE 화면 설계 v1.0.xlsx 시트1!A2:F13
“LOGIN-01부터 EXT-02까지 12개 화면 ID 목록”
FOCURVE 화면 명세 v1.0.xlsx 시트1!A2:F28
“SITE-02의 입력·검증·상태·버튼 상세”
EXT-01 확장 프로그램 팝업 명세.xlsx 시트1!A2:F57
“EXT-01의 상태별 상세”
SESSION-01 — 웹 집중 세션 화면 명세.xlsx 시트1!A2:F44
“SESSION-01의 상태별 상세”
FOCURVE_LowFi_설계.md 120~145,147~163,219~271행
“나머지 화면의 목적·주요 동작·상태 개요가 있음”</x:v>
      </x:c>
      <x:c r="F23" s="9" t="str">
        <x:v>설계가 전혀 없는 것은 아니지만 LOGIN·SIGNUP·DASH·SITE-01·LOG-01·LOG-02·STAT·SETTING·EXT-02의 세부 입력/버튼/상태 계약을 팀원이 동일하게 구현하기 어려움.</x:v>
      </x:c>
      <x:c r="G23" s="9" t="str">
        <x:v>기존 Low-Fi 설명을 출발점으로 나머지 9개 화면의 필드·검증·버튼·정상/로딩/빈/실패/미확인 상태를 명세하고 현재 High-Fi 프레임과 연결한다.</x:v>
      </x:c>
      <x:c r="H23" s="11" t="str">
        <x:v>미해결</x:v>
      </x:c>
      <x:c r="I23" s="11" t="str"/>
      <x:c r="J23" s="12" t="str"/>
      <x:c r="K23" s="11" t="str"/>
      <x:c r="L23" s="11" t="str"/>
    </x:row>
    <x:row r="24" ht="106" customHeight="1">
      <x:c r="A24" s="3" t="str">
        <x:v>ISS-19</x:v>
      </x:c>
      <x:c r="B24" s="3" t="str">
        <x:v>선결</x:v>
      </x:c>
      <x:c r="C24" s="3" t="str">
        <x:v>상세 결정 필요</x:v>
      </x:c>
      <x:c r="D24" s="3" t="str">
        <x:v>집중 시간 기본값과 최대값이 미확정</x:v>
      </x:c>
      <x:c r="E24" s="3" t="str">
        <x:v>SESSION-01 — 웹 집중 세션 화면 명세.xlsx 시트1!D42:F42
“기본 시간, 최대 시간, 입력 단위와 선택 방식을 확정한다. / 개발 전 확정”
EXT-01 확장 프로그램 팝업 명세.xlsx 시트1!D26:F26,D54:F54
“양의 정수 입력을 기본안으로 한다. ... 기본값과 최대 시간은 별도 확정한다.”</x:v>
      </x:c>
      <x:c r="F24" s="3" t="str">
        <x:v>시작 가능 조건과 경계값 검증이 Web/Extension/Server마다 달라질 수 있음.</x:v>
      </x:c>
      <x:c r="G24" s="3" t="str">
        <x:v>기본값·최소/최대값·분 단위 정수 여부·프리셋을 결정하고 공통 검증 표에 0,1,최댓값,최댓값+1,소수,공백 사례를 추가한다.</x:v>
      </x:c>
      <x:c r="H24" s="11" t="str">
        <x:v>미해결</x:v>
      </x:c>
      <x:c r="I24" s="11" t="str"/>
      <x:c r="J24" s="12" t="str"/>
      <x:c r="K24" s="11" t="str"/>
      <x:c r="L24" s="11" t="str"/>
    </x:row>
    <x:row r="25" ht="61" customHeight="1">
      <x:c r="A25" s="9" t="str">
        <x:v>ISS-20</x:v>
      </x:c>
      <x:c r="B25" s="9" t="str">
        <x:v>선결</x:v>
      </x:c>
      <x:c r="C25" s="9" t="str">
        <x:v>상세 결정 필요</x:v>
      </x:c>
      <x:c r="D25" s="9" t="str">
        <x:v>사이트 주소 최대 길이와 허용 형태가 미확정</x:v>
      </x:c>
      <x:c r="E25" s="9" t="str">
        <x:v>FOCURVE 화면 명세 v1.0.xlsx 시트1!D7:E8,D28:F28
“유효한 호스트명을 추출할 수 없으면 저장을 막는다. / URL 최대 입력 길이와 지원하는 주소 형태를 확정한다.”</x:v>
      </x:c>
      <x:c r="F25" s="9" t="str">
        <x:v>같은 주소가 웹에서는 저장되고 확장/서버에서는 거절되거나 범위가 다르게 저장될 수 있음.</x:v>
      </x:c>
      <x:c r="G25" s="9" t="str">
        <x:v>길이·스킴 유무·국제화 도메인·포트·IP/localhost·지원하지 않는 스킴의 허용/거절 기준을 결정하고 정규화 예제를 고정한다. 임의의 기준을 구현자가 채우지 않는다.</x:v>
      </x:c>
      <x:c r="H25" s="11" t="str">
        <x:v>미해결</x:v>
      </x:c>
      <x:c r="I25" s="11" t="str"/>
      <x:c r="J25" s="12" t="str"/>
      <x:c r="K25" s="11" t="str"/>
      <x:c r="L25" s="11" t="str"/>
    </x:row>
    <x:row r="26" ht="121" customHeight="1">
      <x:c r="A26" s="3" t="str">
        <x:v>ISS-21</x:v>
      </x:c>
      <x:c r="B26" s="3" t="str">
        <x:v>선결</x:v>
      </x:c>
      <x:c r="C26" s="3" t="str">
        <x:v>상세 결정 필요</x:v>
      </x:c>
      <x:c r="D26" s="3" t="str">
        <x:v>관리 대상이 없는 세션 시작 허용 여부가 미확정</x:v>
      </x:c>
      <x:c r="E26" s="3" t="str">
        <x:v>EXT-01 확장 프로그램 팝업 명세.xlsx 시트1!D55:F55
“등록 사이트가 없거나 적용할 차단·기록·내부 기능 정책이 없는 경우의 시작 허용 여부를 확정한다.”
SESSION-01 — 웹 집중 세션 화면 명세.xlsx 시트1!D43:F43
“EXT-01의 같은 항목과 함께 결정하고 안내 문구와 버튼 활성 조건에 반영한다.”</x:v>
      </x:c>
      <x:c r="F26" s="3" t="str">
        <x:v>동일한 계정이 웹에서는 시작되고 팝업에서는 차단되는 등 불일치가 발생할 수 있음.</x:v>
      </x:c>
      <x:c r="G26" s="3" t="str">
        <x:v>사이트 0개와 사이트는 있지만 적용 정책 0개인 두 경우를 나누어 허용/차단과 안내 문구를 결정한다.</x:v>
      </x:c>
      <x:c r="H26" s="11" t="str">
        <x:v>미해결</x:v>
      </x:c>
      <x:c r="I26" s="11" t="str"/>
      <x:c r="J26" s="12" t="str"/>
      <x:c r="K26" s="11" t="str"/>
      <x:c r="L26" s="11" t="str"/>
    </x:row>
    <x:row r="27" ht="106" customHeight="1">
      <x:c r="A27" s="9" t="str">
        <x:v>ISS-22</x:v>
      </x:c>
      <x:c r="B27" s="9" t="str">
        <x:v>중요</x:v>
      </x:c>
      <x:c r="C27" s="9" t="str">
        <x:v>상세 결정 필요</x:v>
      </x:c>
      <x:c r="D27" s="9" t="str">
        <x:v>전체 차단 전환 시 Shorts 토글 값 처리 규칙 보완 필요</x:v>
      </x:c>
      <x:c r="E27" s="9" t="str">
        <x:v>FOCURVE 화면 명세 v1.0.xlsx 시트1!D13:E14
“Shorts 제한을 켜거나 끈다 / 전체 차단 우선 / 같은 접근을 Shorts 제한으로 중복 처리하지 않는다”
FOCURVE_LowFi_설계.md 181행
“전체 차단 시 기능별 제한은 비활성화합니다.”</x:v>
      </x:c>
      <x:c r="F27" s="9" t="str">
        <x:v>실행 우선순위는 맞지만 전체 차단으로 바꾸었다가 기록 방식으로 돌아올 때 기존 Shorts 설정 유지/초기화가 명확하지 않음.</x:v>
      </x:c>
      <x:c r="G27" s="9" t="str">
        <x:v>기능별 토글 비활성화 조건과 저장값 유지 여부, 전체 차단 해제 시 복원값을 SITE-02·EXT-01에 함께 명세한다.</x:v>
      </x:c>
      <x:c r="H27" s="11" t="str">
        <x:v>미해결</x:v>
      </x:c>
      <x:c r="I27" s="11" t="str"/>
      <x:c r="J27" s="12" t="str"/>
      <x:c r="K27" s="11" t="str"/>
      <x:c r="L27" s="11" t="str"/>
    </x:row>
    <x:row r="28" ht="121" customHeight="1">
      <x:c r="A28" s="3" t="str">
        <x:v>ISS-23</x:v>
      </x:c>
      <x:c r="B28" s="3" t="str">
        <x:v>중요</x:v>
      </x:c>
      <x:c r="C28" s="3" t="str">
        <x:v>상세 결정 필요</x:v>
      </x:c>
      <x:c r="D28" s="3" t="str">
        <x:v>목록·통계 필터 상세 동작 계약 보완 필요</x:v>
      </x:c>
      <x:c r="E28" s="3" t="str">
        <x:v>FOCURVE_LowFi_설계.md 163,225,242~244행
“프로토타입 필터는 배치 검토용 / 기간·세션·유형·반복 여부 / 기간 선택 → 같은 기준으로 지표 갱신”
FOCURVE_Task_Flow_v1.0 (1).md 530행
“기간·세션·사이트·행동 유형 필터는 상세 UX 초안이다. 지원 범위는 화면 명세에 이어 적는다.”</x:v>
      </x:c>
      <x:c r="F28" s="3" t="str">
        <x:v>기간 기본값, 정렬, 더 보기 단위, 조건 유지, 집계 기준이 구현자마다 달라질 수 있음.</x:v>
      </x:c>
      <x:c r="G28" s="3" t="str">
        <x:v>SITE-01·LOG-01·STAT-01의 기본 필터/기간/정렬, 조합 규칙, 상세 복귀 시 유지, 추가 조회 기준과 초기화 동작을 표로 확정한다.</x:v>
      </x:c>
      <x:c r="H28" s="11" t="str">
        <x:v>미해결</x:v>
      </x:c>
      <x:c r="I28" s="11" t="str"/>
      <x:c r="J28" s="12" t="str"/>
      <x:c r="K28" s="11" t="str"/>
      <x:c r="L28" s="11" t="str"/>
    </x:row>
    <x:row r="29" ht="136" customHeight="1">
      <x:c r="A29" s="9" t="str">
        <x:v>ISS-24</x:v>
      </x:c>
      <x:c r="B29" s="9" t="str">
        <x:v>중요</x:v>
      </x:c>
      <x:c r="C29" s="9" t="str">
        <x:v>상세 결정 필요</x:v>
      </x:c>
      <x:c r="D29" s="9" t="str">
        <x:v>좁은 화면·긴 내용·키보드 사용의 UI 검증 기준이 명세에 없음</x:v>
      </x:c>
      <x:c r="E29" s="9" t="str">
        <x:v>FOCURVE_LowFi_설계.md 118,161,170,188,233행
“팝업 내용이 길면 세로로 스크롤 / 목록과 상세 두 열 / 입력과 요약 두 열”
FOCURVE 화면 명세 v1.0.xlsx 시트1!E16
“첫 오류 항목으로 이동한다”
FOCURVE 화면 설계 v1.0.xlsx 시트1!A1:F13
“화면 ID·목적·Task Flow 목록만 있으며 최소 폭·키보드·포커스 기준은 없음”</x:v>
      </x:c>
      <x:c r="F29" s="9" t="str">
        <x:v>UI 결함이 확인된 것은 아니며, 작은 화면/긴 도메인/키보드 사용에서의 합격 기준을 설계 명세만으로 판단할 수 없음.</x:v>
      </x:c>
      <x:c r="G29" s="9" t="str">
        <x:v>지원 최소 웹 폭과 팝업 크기, 긴 문자열 줄바꿈, 키보드 순서, 모달 포커스 복귀, 상태의 텍스트 표시 기준을 합의하고 현재 High-Fi에서 확인한다.</x:v>
      </x:c>
      <x:c r="H29" s="11" t="str">
        <x:v>미해결</x:v>
      </x:c>
      <x:c r="I29" s="11" t="str"/>
      <x:c r="J29" s="12" t="str"/>
      <x:c r="K29" s="11" t="str"/>
      <x:c r="L29" s="11" t="str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</x:sheetData>
  <x:mergeCells>
    <x:mergeCell ref="A1:F1"/>
    <x:mergeCell ref="A2:F3"/>
  </x:mergeCells>
  <x:conditionalFormatting sqref="H6:H29">
    <x:cfRule type="expression" dxfId="7" priority="1">
      <x:formula>$H6="통과"</x:formula>
    </x:cfRule>
    <x:cfRule type="expression" dxfId="8" priority="2">
      <x:formula>$H6="보완 필요"</x:formula>
    </x:cfRule>
    <x:cfRule type="expression" dxfId="9" priority="3">
      <x:formula>$H6="차단됨"</x:formula>
    </x:cfRule>
    <x:cfRule type="expression" dxfId="10" priority="4">
      <x:formula>$H6="검토 중"</x:formula>
    </x:cfRule>
    <x:cfRule type="expression" dxfId="11" priority="5">
      <x:formula>$H6="해당 없음"</x:formula>
    </x:cfRule>
    <x:cfRule type="expression" dxfId="12" priority="6">
      <x:formula>$H6="미해결"</x:formula>
    </x:cfRule>
    <x:cfRule type="expression" dxfId="13" priority="7">
      <x:formula>$H6="해결"</x:formula>
    </x:cfRule>
  </x:conditionalFormatting>
  <x:dataValidations count="1">
    <x:dataValidation type="list" sqref="H6:H29">
      <x:formula1>"미해결,검토 중,결정됨,반영 중,해결,해당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28a921b9d9442f"/>
  </x:tableParts>
</x:worksheet>
</file>

<file path=xl/worksheets/sheet4.xml><?xml version="1.0" encoding="utf-8"?>
<x:worksheet xmlns:x="http://schemas.openxmlformats.org/spreadsheetml/2006/main">
  <x:sheetPr>
    <x:tabColor rgb="FF246CE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4399995803833" hidden="0" customWidth="1"/>
    <x:col min="2" max="2" width="12.220000267028809" hidden="0" customWidth="1"/>
    <x:col min="3" max="3" width="24.440000534057617" hidden="0" customWidth="1"/>
    <x:col min="4" max="4" width="29.440000534057617" hidden="0" customWidth="1"/>
    <x:col min="5" max="5" width="40.560001373291016" hidden="0" customWidth="1"/>
    <x:col min="6" max="6" width="43.33000183105469" hidden="0" customWidth="1"/>
    <x:col min="7" max="7" width="31.110000610351562" hidden="0" customWidth="1"/>
    <x:col min="8" max="8" width="11.109999656677246" hidden="0" customWidth="1"/>
    <x:col min="9" max="9" width="11.109999656677246" hidden="0" customWidth="1"/>
    <x:col min="10" max="10" width="33.88999938964844" hidden="0" customWidth="1"/>
    <x:col min="11" max="11" width="13.890000343322754" hidden="0" customWidth="1"/>
    <x:col min="12" max="12" width="26.670000076293945" hidden="0" customWidth="1"/>
    <x:col min="13" max="13" width="10.5600004196167" hidden="0" customWidth="1"/>
  </x:cols>
  <x:sheetData>
    <x:row r="1" ht="38" customHeight="1">
      <x:c r="A1" s="5" t="str">
        <x:v>실행 시나리오 · 실제 제품으로 검증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</x:row>
    <x:row r="2" ht="26" customHeight="1">
      <x:c r="A2" s="7" t="str">
        <x:v>현재는 모두 미실행입니다. 환경 열에 Web/Server/Extension 버전, Chrome/OS, 수행일, 세션·정책 버전을 기록하세요. 실패하면 이슈 ID·등급·재검증 결과를 남깁니다.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  <x:c r="M2" s="3"/>
    </x:row>
    <x:row r="3" ht="26" customHeight="1">
      <x:c r="A3" s="7"/>
      <x:c r="B3" s="7"/>
      <x:c r="C3" s="7"/>
      <x:c r="D3" s="7"/>
      <x:c r="E3" s="7"/>
      <x:c r="F3" s="7"/>
      <x:c r="G3" s="3"/>
      <x:c r="H3" s="3"/>
      <x:c r="I3" s="3"/>
      <x:c r="J3" s="3"/>
      <x:c r="K3" s="3"/>
      <x:c r="L3" s="3"/>
      <x:c r="M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2" customHeight="1">
      <x:c r="A5" s="8" t="str">
        <x:v>ID</x:v>
      </x:c>
      <x:c r="B5" s="8" t="str">
        <x:v>범위</x:v>
      </x:c>
      <x:c r="C5" s="8" t="str">
        <x:v>검증 흐름</x:v>
      </x:c>
      <x:c r="D5" s="8" t="str">
        <x:v>사전 조건</x:v>
      </x:c>
      <x:c r="E5" s="8" t="str">
        <x:v>재현 순서</x:v>
      </x:c>
      <x:c r="F5" s="8" t="str">
        <x:v>기대 결과</x:v>
      </x:c>
      <x:c r="G5" s="8" t="str">
        <x:v>설계 근거</x:v>
      </x:c>
      <x:c r="H5" s="8" t="str">
        <x:v>판정</x:v>
      </x:c>
      <x:c r="I5" s="8" t="str">
        <x:v>담당자</x:v>
      </x:c>
      <x:c r="J5" s="8" t="str">
        <x:v>환경·실제 결과·증거</x:v>
      </x:c>
      <x:c r="K5" s="8" t="str">
        <x:v>이슈 ID / 등급</x:v>
      </x:c>
      <x:c r="L5" s="8" t="str">
        <x:v>수정·재검증 결과</x:v>
      </x:c>
      <x:c r="M5" s="8" t="str">
        <x:v>확인자</x:v>
      </x:c>
    </x:row>
    <x:row r="6" ht="46" customHeight="1">
      <x:c r="A6" s="3" t="str">
        <x:v>E2E-01</x:v>
      </x:c>
      <x:c r="B6" s="3" t="str">
        <x:v>필수 MVP</x:v>
      </x:c>
      <x:c r="C6" s="3" t="str">
        <x:v>회원 로그인과 확장 복귀</x:v>
      </x:c>
      <x:c r="D6" s="3" t="str">
        <x:v>웹 비로그인, 확장 첫 진입</x:v>
      </x:c>
      <x:c r="E6" s="3" t="str">
        <x:v>확장 로그인 → 웹 인증 → 연결 확인 → 팝업 복귀 → 대시보드</x:v>
      </x:c>
      <x:c r="F6" s="3" t="str">
        <x:v>동일 계정 연결 후 회원 상태가 보인다. 인증 취소/실패에는 재시도가 있다. 웹 로그인만으로 연결 성공을 표시하지 않는다.</x:v>
      </x:c>
      <x:c r="G6" s="3" t="str">
        <x:v>TF-12·13 / LOGIN-01·EXT-01</x:v>
      </x:c>
      <x:c r="H6" s="11" t="str">
        <x:v>미실행</x:v>
      </x:c>
      <x:c r="I6" s="11" t="str"/>
      <x:c r="J6" s="11" t="str"/>
      <x:c r="K6" s="11" t="str"/>
      <x:c r="L6" s="11" t="str"/>
      <x:c r="M6" s="11" t="str"/>
    </x:row>
    <x:row r="7" ht="46" customHeight="1">
      <x:c r="A7" s="9" t="str">
        <x:v>E2E-02</x:v>
      </x:c>
      <x:c r="B7" s="9" t="str">
        <x:v>비회원</x:v>
      </x:c>
      <x:c r="C7" s="9" t="str">
        <x:v>비회원 집중과 로컬 결과</x:v>
      </x:c>
      <x:c r="D7" s="9" t="str">
        <x:v>새 로컬 프로필, 비회원 경로</x:v>
      </x:c>
      <x:c r="E7" s="9" t="str">
        <x:v>로그인 없이 시작 → 사이트 설정 → 집중 → 종료 → 로컬 결과</x:v>
      </x:c>
      <x:c r="F7" s="9" t="str">
        <x:v>계정 생성 없이 완료하며 자료가 자동으로 계정/서버에 이전되지 않는다.</x:v>
      </x:c>
      <x:c r="G7" s="9" t="str">
        <x:v>User Flow 비회원 / TF-06·11</x:v>
      </x:c>
      <x:c r="H7" s="11" t="str">
        <x:v>미실행</x:v>
      </x:c>
      <x:c r="I7" s="11" t="str"/>
      <x:c r="J7" s="11" t="str"/>
      <x:c r="K7" s="11" t="str"/>
      <x:c r="L7" s="11" t="str"/>
      <x:c r="M7" s="11" t="str"/>
    </x:row>
    <x:row r="8" ht="46" customHeight="1">
      <x:c r="A8" s="3" t="str">
        <x:v>E2E-03</x:v>
      </x:c>
      <x:c r="B8" s="3" t="str">
        <x:v>필수 MVP</x:v>
      </x:c>
      <x:c r="C8" s="3" t="str">
        <x:v>등록·분류·정책</x:v>
      </x:c>
      <x:c r="D8" s="3" t="str">
        <x:v>로그인, 관리할 사이트 준비</x:v>
      </x:c>
      <x:c r="E8" s="3" t="str">
        <x:v>사이트 등록 → 집중/방해/일반 분류 → 차단/기록 설정 → 재조회</x:v>
      </x:c>
      <x:c r="F8" s="3" t="str">
        <x:v>분류와 정책을 구별하고 URL 중복/잘못된 입력/저장 실패를 안내한다.</x:v>
      </x:c>
      <x:c r="G8" s="3" t="str">
        <x:v>SITE-01·02 / TF-01~04</x:v>
      </x:c>
      <x:c r="H8" s="11" t="str">
        <x:v>미실행</x:v>
      </x:c>
      <x:c r="I8" s="11" t="str"/>
      <x:c r="J8" s="11" t="str"/>
      <x:c r="K8" s="11" t="str"/>
      <x:c r="L8" s="11" t="str"/>
      <x:c r="M8" s="11" t="str"/>
    </x:row>
    <x:row r="9" ht="46" customHeight="1">
      <x:c r="A9" s="9" t="str">
        <x:v>E2E-04</x:v>
      </x:c>
      <x:c r="B9" s="9" t="str">
        <x:v>필수 MVP</x:v>
      </x:c>
      <x:c r="C9" s="9" t="str">
        <x:v>차단·기록·Shorts·일반 영상</x:v>
      </x:c>
      <x:c r="D9" s="9" t="str">
        <x:v>정상 연결, 저장된 정책과 시작 가능한 시간</x:v>
      </x:c>
      <x:c r="E9" s="9" t="str">
        <x:v>시작 → 차단 대상 → 기록 대상 → Shorts → 일반 영상 → 종료</x:v>
      </x:c>
      <x:c r="F9" s="9" t="str">
        <x:v>전체 차단·기록·Shorts 제한을 각각 수행한다. 일반 영상은 정상이며 종료 후 제한이 해제된다.</x:v>
      </x:c>
      <x:c r="G9" s="9" t="str">
        <x:v>기획 p.74–76 / TF-04~08</x:v>
      </x:c>
      <x:c r="H9" s="11" t="str">
        <x:v>미실행</x:v>
      </x:c>
      <x:c r="I9" s="11" t="str"/>
      <x:c r="J9" s="11" t="str"/>
      <x:c r="K9" s="11" t="str"/>
      <x:c r="L9" s="11" t="str"/>
      <x:c r="M9" s="11" t="str"/>
    </x:row>
    <x:row r="10" ht="46" customHeight="1">
      <x:c r="A10" s="3" t="str">
        <x:v>E2E-05</x:v>
      </x:c>
      <x:c r="B10" s="3" t="str">
        <x:v>필수 MVP</x:v>
      </x:c>
      <x:c r="C10" s="3" t="str">
        <x:v>시작 실패와 중복 시작</x:v>
      </x:c>
      <x:c r="D10" s="3" t="str">
        <x:v>시작 요청 지연 또는 정책 일부 적용 실패</x:v>
      </x:c>
      <x:c r="E10" s="3" t="str">
        <x:v>시작 두 번 → 응답 유실 → 재시도 → 상태 재조회</x:v>
      </x:c>
      <x:c r="F10" s="3" t="str">
        <x:v>세션이 하나이며 부분 제한을 정리한다. 실제 적용 전 시작 성공으로 보이지 않는다.</x:v>
      </x:c>
      <x:c r="G10" s="3" t="str">
        <x:v>Event Schema / SESSION-01·EXT-01</x:v>
      </x:c>
      <x:c r="H10" s="11" t="str">
        <x:v>미실행</x:v>
      </x:c>
      <x:c r="I10" s="11" t="str"/>
      <x:c r="J10" s="11" t="str"/>
      <x:c r="K10" s="11" t="str"/>
      <x:c r="L10" s="11" t="str"/>
      <x:c r="M10" s="11" t="str"/>
    </x:row>
    <x:row r="11" ht="46" customHeight="1">
      <x:c r="A11" s="9" t="str">
        <x:v>E2E-06</x:v>
      </x:c>
      <x:c r="B11" s="9" t="str">
        <x:v>필수 MVP</x:v>
      </x:c>
      <x:c r="C11" s="9" t="str">
        <x:v>팝업 재열기와 통신 단절</x:v>
      </x:c>
      <x:c r="D11" s="9" t="str">
        <x:v>진행 세션, 정책 적용 완료</x:v>
      </x:c>
      <x:c r="E11" s="9" t="str">
        <x:v>팝업 닫기/열기 → 네트워크 끊기 → 직접 종료 또는 시간 만료</x:v>
      </x:c>
      <x:c r="F11" s="9" t="str">
        <x:v>같은 세션을 복원하고 오프라인에서도 로컬 해제를 수행한다. 미전송 상태를 완료와 구별한다.</x:v>
      </x:c>
      <x:c r="G11" s="9" t="str">
        <x:v>TF-04·07 / SESSION-01·EXT-01</x:v>
      </x:c>
      <x:c r="H11" s="11" t="str">
        <x:v>미실행</x:v>
      </x:c>
      <x:c r="I11" s="11" t="str"/>
      <x:c r="J11" s="11" t="str"/>
      <x:c r="K11" s="11" t="str"/>
      <x:c r="L11" s="11" t="str"/>
      <x:c r="M11" s="11" t="str"/>
    </x:row>
    <x:row r="12" ht="46" customHeight="1">
      <x:c r="A12" s="3" t="str">
        <x:v>E2E-07</x:v>
      </x:c>
      <x:c r="B12" s="3" t="str">
        <x:v>필수 MVP</x:v>
      </x:c>
      <x:c r="C12" s="3" t="str">
        <x:v>권한 상실·재시작</x:v>
      </x:c>
      <x:c r="D12" s="3" t="str">
        <x:v>진행 세션; 복구 정책 먼저 확정</x:v>
      </x:c>
      <x:c r="E12" s="3" t="str">
        <x:v>권한 철회 또는 브라우저 재시작 → 재진입 → 복구/종료</x:v>
      </x:c>
      <x:c r="F12" s="3" t="str">
        <x:v>확정한 중단 규칙과 논리 종료시각을 적용한다. 결정 전에는 차단됨으로 남긴다.</x:v>
      </x:c>
      <x:c r="G12" s="3" t="str">
        <x:v>결정할 사항: 중단 복구 / Event Schema</x:v>
      </x:c>
      <x:c r="H12" s="11" t="str">
        <x:v>미실행</x:v>
      </x:c>
      <x:c r="I12" s="11" t="str"/>
      <x:c r="J12" s="11" t="str"/>
      <x:c r="K12" s="11" t="str"/>
      <x:c r="L12" s="11" t="str"/>
      <x:c r="M12" s="11" t="str"/>
    </x:row>
    <x:row r="13" ht="46" customHeight="1">
      <x:c r="A13" s="9" t="str">
        <x:v>E2E-08</x:v>
      </x:c>
      <x:c r="B13" s="9" t="str">
        <x:v>필수 MVP</x:v>
      </x:c>
      <x:c r="C13" s="9" t="str">
        <x:v>진행 중 정책 변경</x:v>
      </x:c>
      <x:c r="D13" s="9" t="str">
        <x:v>세션 시작시 정책 스냅샷 보유</x:v>
      </x:c>
      <x:c r="E13" s="9" t="str">
        <x:v>웹에서 정책 수정 → 현재 적용 조회 → 종료 → 다음 세션</x:v>
      </x:c>
      <x:c r="F13" s="9" t="str">
        <x:v>현재 세션은 스냅샷 유지, 다음 세션은 새 설정 적용. 삭제 동작은 별도 결정에 따른다.</x:v>
      </x:c>
      <x:c r="G13" s="9" t="str">
        <x:v>TF-03·04 / Event Schema</x:v>
      </x:c>
      <x:c r="H13" s="11" t="str">
        <x:v>미실행</x:v>
      </x:c>
      <x:c r="I13" s="11" t="str"/>
      <x:c r="J13" s="11" t="str"/>
      <x:c r="K13" s="11" t="str"/>
      <x:c r="L13" s="11" t="str"/>
      <x:c r="M13" s="11" t="str"/>
    </x:row>
    <x:row r="14" ht="46" customHeight="1">
      <x:c r="A14" s="3" t="str">
        <x:v>E2E-09</x:v>
      </x:c>
      <x:c r="B14" s="3" t="str">
        <x:v>필수 MVP</x:v>
      </x:c>
      <x:c r="C14" s="3" t="str">
        <x:v>공통 숫자 대조</x:v>
      </x:c>
      <x:c r="D14" s="3" t="str">
        <x:v>수치 검증 시트 기준 데이터</x:v>
      </x:c>
      <x:c r="E14" s="3" t="str">
        <x:v>12개 이벤트 → 로그 목록/상세 → 대시보드 → 통계 → 시간 필터</x:v>
      </x:c>
      <x:c r="F14" s="3" t="str">
        <x:v>차단6·기록4·내부제한2·전체12·반복4·집중90분·완료2가 같은 시점에 일치한다.</x:v>
      </x:c>
      <x:c r="G14" s="3" t="str">
        <x:v>Low-Fi 검토안내 예시 데이터 / 수치 검증</x:v>
      </x:c>
      <x:c r="H14" s="11" t="str">
        <x:v>미실행</x:v>
      </x:c>
      <x:c r="I14" s="11" t="str"/>
      <x:c r="J14" s="11" t="str"/>
      <x:c r="K14" s="11" t="str"/>
      <x:c r="L14" s="11" t="str"/>
      <x:c r="M14" s="11" t="str"/>
    </x:row>
    <x:row r="15" ht="46" customHeight="1">
      <x:c r="A15" s="9" t="str">
        <x:v>E2E-10</x:v>
      </x:c>
      <x:c r="B15" s="9" t="str">
        <x:v>필수 MVP</x:v>
      </x:c>
      <x:c r="C15" s="9" t="str">
        <x:v>재전송·지연 도착·충돌</x:v>
      </x:c>
      <x:c r="D15" s="9" t="str">
        <x:v>동일 event_id/attempt_id와 정책 스냅샷 준비</x:v>
      </x:c>
      <x:c r="E15" s="9" t="str">
        <x:v>동일 이벤트 재전송 → 역순 수신 → 내용 충돌 → 재조회</x:v>
      </x:c>
      <x:c r="F15" s="9" t="str">
        <x:v>중복 집계 없음. 순번 기준은 합의된 문서와 일치. 충돌은 보류/제외 규칙에 따라 처리한다.</x:v>
      </x:c>
      <x:c r="G15" s="9" t="str">
        <x:v>Event Schema §§4–6,10 / 결정할 사항</x:v>
      </x:c>
      <x:c r="H15" s="11" t="str">
        <x:v>미실행</x:v>
      </x:c>
      <x:c r="I15" s="11" t="str"/>
      <x:c r="J15" s="11" t="str"/>
      <x:c r="K15" s="11" t="str"/>
      <x:c r="L15" s="11" t="str"/>
      <x:c r="M15" s="11" t="str"/>
    </x:row>
    <x:row r="16" ht="46" customHeight="1">
      <x:c r="A16" s="3" t="str">
        <x:v>E2E-11</x:v>
      </x:c>
      <x:c r="B16" s="3" t="str">
        <x:v>필수 MVP</x:v>
      </x:c>
      <x:c r="C16" s="3" t="str">
        <x:v>날짜 경계·필터</x:v>
      </x:c>
      <x:c r="D16" s="3" t="str">
        <x:v>자정 통과 세션, UTC 원본</x:v>
      </x:c>
      <x:c r="E16" s="3" t="str">
        <x:v>23:59/00:01 접근 → 오늘/어제/세션 필터 → 집중시간 합산</x:v>
      </x:c>
      <x:c r="F16" s="3" t="str">
        <x:v>한국시간 구간과 반복 기준이 일치한다. 자정 시간 배분 미결정 시 관련 판정은 차단됨.</x:v>
      </x:c>
      <x:c r="G16" s="3" t="str">
        <x:v>Event Schema / 결정할 사항</x:v>
      </x:c>
      <x:c r="H16" s="11" t="str">
        <x:v>미실행</x:v>
      </x:c>
      <x:c r="I16" s="11" t="str"/>
      <x:c r="J16" s="11" t="str"/>
      <x:c r="K16" s="11" t="str"/>
      <x:c r="L16" s="11" t="str"/>
      <x:c r="M16" s="11" t="str"/>
    </x:row>
    <x:row r="17" ht="46" customHeight="1">
      <x:c r="A17" s="9" t="str">
        <x:v>E2E-12</x:v>
      </x:c>
      <x:c r="B17" s="9" t="str">
        <x:v>비회원</x:v>
      </x:c>
      <x:c r="C17" s="9" t="str">
        <x:v>자료 가져오기 재시도</x:v>
      </x:c>
      <x:c r="D17" s="9" t="str">
        <x:v>로컬 자료+기존 계정 설정, 충돌 데이터</x:v>
      </x:c>
      <x:c r="E17" s="9" t="str">
        <x:v>계정 연결 → 선택/미선택 → 일부 성공 → 재시도 → 재조회</x:v>
      </x:c>
      <x:c r="F17" s="9" t="str">
        <x:v>동의 범위만 이전하고 기존 설정 충돌 규칙을 지킨다. 중복 없음. 완료 확인 전 원본을 임의 삭제하지 않는다.</x:v>
      </x:c>
      <x:c r="G17" s="9" t="str">
        <x:v>TF-11 / EXT-01</x:v>
      </x:c>
      <x:c r="H17" s="11" t="str">
        <x:v>미실행</x:v>
      </x:c>
      <x:c r="I17" s="11" t="str"/>
      <x:c r="J17" s="11" t="str"/>
      <x:c r="K17" s="11" t="str"/>
      <x:c r="L17" s="11" t="str"/>
      <x:c r="M17" s="11" t="str"/>
    </x:row>
    <x:row r="18" ht="46" customHeight="1">
      <x:c r="A18" s="3" t="str">
        <x:v>E2E-13</x:v>
      </x:c>
      <x:c r="B18" s="3" t="str">
        <x:v>필수 MVP</x:v>
      </x:c>
      <x:c r="C18" s="3" t="str">
        <x:v>인증 만료·로그아웃</x:v>
      </x:c>
      <x:c r="D18" s="3" t="str">
        <x:v>진행 중 또는 미전송 자료 존재</x:v>
      </x:c>
      <x:c r="E18" s="3" t="str">
        <x:v>토큰 만료 → 재인증 → 로그아웃 → 다른 계정 로그인</x:v>
      </x:c>
      <x:c r="F18" s="3" t="str">
        <x:v>타 계정에 이전되지 않는다. 비회원으로 자동 전환하지 않으며 미전송·정책 처리는 최종 결정과 일치한다.</x:v>
      </x:c>
      <x:c r="G18" s="3" t="str">
        <x:v>TF-10 / SETTING-01 / 결정할 사항</x:v>
      </x:c>
      <x:c r="H18" s="11" t="str">
        <x:v>미실행</x:v>
      </x:c>
      <x:c r="I18" s="11" t="str"/>
      <x:c r="J18" s="11" t="str"/>
      <x:c r="K18" s="11" t="str"/>
      <x:c r="L18" s="11" t="str"/>
      <x:c r="M18" s="11" t="str"/>
    </x:row>
    <x:row r="19" ht="46" customHeight="1">
      <x:c r="A19" s="9" t="str">
        <x:v>E2E-14</x:v>
      </x:c>
      <x:c r="B19" s="9" t="str">
        <x:v>필수 MVP</x:v>
      </x:c>
      <x:c r="C19" s="9" t="str">
        <x:v>삭제와 재전송</x:v>
      </x:c>
      <x:c r="D19" s="9" t="str">
        <x:v>삭제 정책 확정, 동일 이벤트 전송 대기</x:v>
      </x:c>
      <x:c r="E19" s="9" t="str">
        <x:v>사이트/기록/계정 삭제 → 재전송 → 원본·통계·백업 처리 확인</x:v>
      </x:c>
      <x:c r="F19" s="9" t="str">
        <x:v>각 삭제 대상과 기한을 확정 정책대로 처리하고 삭제 자료가 재유입되지 않는다.</x:v>
      </x:c>
      <x:c r="G19" s="9" t="str">
        <x:v>기획 p.69–70 / 삭제 정책 결정</x:v>
      </x:c>
      <x:c r="H19" s="11" t="str">
        <x:v>미실행</x:v>
      </x:c>
      <x:c r="I19" s="11" t="str"/>
      <x:c r="J19" s="11" t="str"/>
      <x:c r="K19" s="11" t="str"/>
      <x:c r="L19" s="11" t="str"/>
      <x:c r="M19" s="11" t="str"/>
    </x:row>
    <x:row r="20" ht="46" customHeight="1">
      <x:c r="A20" s="3" t="str">
        <x:v>E2E-15</x:v>
      </x:c>
      <x:c r="B20" s="3" t="str">
        <x:v>필수 MVP</x:v>
      </x:c>
      <x:c r="C20" s="3" t="str">
        <x:v>다른 사용자 데이터 접근</x:v>
      </x:c>
      <x:c r="D20" s="3" t="str">
        <x:v>사용자 A/B의 설정·세션·이벤트</x:v>
      </x:c>
      <x:c r="E20" s="3" t="str">
        <x:v>A 인증으로 B의 ID를 조회/변경/삭제/전송</x:v>
      </x:c>
      <x:c r="F20" s="3" t="str">
        <x:v>모든 타 사용자 요청을 거절하고 데이터가 노출/변경되지 않는다.</x:v>
      </x:c>
      <x:c r="G20" s="3" t="str">
        <x:v>기획 p.71–73,88</x:v>
      </x:c>
      <x:c r="H20" s="11" t="str">
        <x:v>미실행</x:v>
      </x:c>
      <x:c r="I20" s="11" t="str"/>
      <x:c r="J20" s="11" t="str"/>
      <x:c r="K20" s="11" t="str"/>
      <x:c r="L20" s="11" t="str"/>
      <x:c r="M20" s="11" t="str"/>
    </x:row>
    <x:row r="21" ht="46" customHeight="1">
      <x:c r="A21" s="9" t="str">
        <x:v>E2E-16</x:v>
      </x:c>
      <x:c r="B21" s="9" t="str">
        <x:v>학기 필수 추가</x:v>
      </x:c>
      <x:c r="C21" s="9" t="str">
        <x:v>추가 기능이 기본 흐름에 미치는 영향</x:v>
      </x:c>
      <x:c r="D21" s="9" t="str">
        <x:v>기본·추가 기능 전체 구현, 기능별 정책 확정</x:v>
      </x:c>
      <x:c r="E21" s="9" t="str">
        <x:v>추가 기능 ON/OFF → 실패 상태 → 기존 등록·집중·종료·기록</x:v>
      </x:c>
      <x:c r="F21" s="9" t="str">
        <x:v>추가 기능 실패가 필수 흐름을 막지 않는다. AI는 동의 없이 정책을 변경하지 않는다.</x:v>
      </x:c>
      <x:c r="G21" s="9" t="str">
        <x:v>추가 기능 설계 TF-A01~TF-A09</x:v>
      </x:c>
      <x:c r="H21" s="11" t="str">
        <x:v>미실행</x:v>
      </x:c>
      <x:c r="I21" s="11" t="str"/>
      <x:c r="J21" s="11" t="str"/>
      <x:c r="K21" s="11" t="str"/>
      <x:c r="L21" s="11" t="str"/>
      <x:c r="M21" s="11" t="str"/>
    </x:row>
    <x:row r="22" ht="46" customHeight="1">
      <x:c r="A22" s="3" t="str">
        <x:v>E2E-17</x:v>
      </x:c>
      <x:c r="B22" s="3" t="str">
        <x:v>Desktop</x:v>
      </x:c>
      <x:c r="C22" s="3" t="str">
        <x:v>Windows 앱 제한과 통합</x:v>
      </x:c>
      <x:c r="D22" s="3" t="str">
        <x:v>웹 전체 검수·테스트 완료 후 PC 개발 착수·설계 완료</x:v>
      </x:c>
      <x:c r="E22" s="3" t="str">
        <x:v>앱 등록 → 집중 시작 → 실행 감지/제한 → 종료 → 웹 기록 조회</x:v>
      </x:c>
      <x:c r="F22" s="3" t="str">
        <x:v>선택 앱만 처리하고 웹/앱 이벤트를 구분해 연동한다. OS 통제·종료방지 기능으로 설명하지 않는다.</x:v>
      </x:c>
      <x:c r="G22" s="3" t="str">
        <x:v>기획 §2.11 / p.47,117–120</x:v>
      </x:c>
      <x:c r="H22" s="11" t="str">
        <x:v>미실행</x:v>
      </x:c>
      <x:c r="I22" s="11" t="str"/>
      <x:c r="J22" s="11" t="str"/>
      <x:c r="K22" s="11" t="str"/>
      <x:c r="L22" s="11" t="str"/>
      <x:c r="M22" s="11" t="str"/>
    </x:row>
    <x:row r="23" ht="75" customHeight="1">
      <x:c r="A23" s="3" t="str">
        <x:v>E2E-18</x:v>
      </x:c>
      <x:c r="B23" s="3" t="str">
        <x:v>학기 필수 추가</x:v>
      </x:c>
      <x:c r="C23" s="3" t="str">
        <x:v>추천 콘텐츠 제한</x:v>
      </x:c>
      <x:c r="D23" s="3" t="str">
        <x:v>정책·API·데이터 계약 확정</x:v>
      </x:c>
      <x:c r="E23" s="3" t="str">
        <x:v>YouTube 추천 콘텐츠와 Instagram 추천 피드 영역의 선택적 숨김 → 정상·실패·복구</x:v>
      </x:c>
      <x:c r="F23" s="3" t="str">
        <x:v>직접 진입·내부 이동·새로고침에서도 지정 영역만 제한</x:v>
      </x:c>
      <x:c r="G23" s="3" t="str">
        <x:v>OPTION-01 / 추가 기능 설계</x:v>
      </x:c>
      <x:c r="H23" s="3" t="str">
        <x:v>미실행</x:v>
      </x:c>
      <x:c r="I23" s="3"/>
      <x:c r="J23" s="3"/>
      <x:c r="K23" s="3"/>
      <x:c r="L23" s="3"/>
      <x:c r="M23" s="3"/>
    </x:row>
    <x:row r="24" ht="75" customHeight="1">
      <x:c r="A24" s="30" t="str">
        <x:v>E2E-19</x:v>
      </x:c>
      <x:c r="B24" s="30" t="str">
        <x:v>학기 필수 추가</x:v>
      </x:c>
      <x:c r="C24" s="30" t="str">
        <x:v>댓글 제한</x:v>
      </x:c>
      <x:c r="D24" s="30" t="str">
        <x:v>정책·API·데이터 계약 확정</x:v>
      </x:c>
      <x:c r="E24" s="30" t="str">
        <x:v>YouTube 댓글 영역의 선택적 숨김 → 정상·실패·복구</x:v>
      </x:c>
      <x:c r="F24" s="30" t="str">
        <x:v>일반 영상 재생을 유지하고 댓글만 숨김·복원</x:v>
      </x:c>
      <x:c r="G24" s="30" t="str">
        <x:v>OPTION-02 / 추가 기능 설계</x:v>
      </x:c>
      <x:c r="H24" s="30" t="str">
        <x:v>미실행</x:v>
      </x:c>
      <x:c r="I24" s="30"/>
      <x:c r="J24" s="30"/>
      <x:c r="K24" s="30"/>
      <x:c r="L24" s="30"/>
      <x:c r="M24" s="30"/>
    </x:row>
    <x:row r="25" ht="75" customHeight="1">
      <x:c r="A25" s="30" t="str">
        <x:v>E2E-20</x:v>
      </x:c>
      <x:c r="B25" s="30" t="str">
        <x:v>학기 필수 추가</x:v>
      </x:c>
      <x:c r="C25" s="30" t="str">
        <x:v>자동재생 제한</x:v>
      </x:c>
      <x:c r="D25" s="30" t="str">
        <x:v>정책·API·데이터 계약 확정</x:v>
      </x:c>
      <x:c r="E25" s="30" t="str">
        <x:v>다음 영상 자동재생 제한 → 정상·실패·복구</x:v>
      </x:c>
      <x:c r="F25" s="30" t="str">
        <x:v>일반 수동 재생을 막지 않고 자동재생만 제한</x:v>
      </x:c>
      <x:c r="G25" s="30" t="str">
        <x:v>OPTION-03 / 추가 기능 설계</x:v>
      </x:c>
      <x:c r="H25" s="30" t="str">
        <x:v>미실행</x:v>
      </x:c>
      <x:c r="I25" s="30"/>
      <x:c r="J25" s="30"/>
      <x:c r="K25" s="30"/>
      <x:c r="L25" s="30"/>
      <x:c r="M25" s="30"/>
    </x:row>
    <x:row r="26" ht="75" customHeight="1">
      <x:c r="A26" s="30" t="str">
        <x:v>E2E-21</x:v>
      </x:c>
      <x:c r="B26" s="30" t="str">
        <x:v>학기 필수 추가</x:v>
      </x:c>
      <x:c r="C26" s="30" t="str">
        <x:v>집중 예약</x:v>
      </x:c>
      <x:c r="D26" s="30" t="str">
        <x:v>정책·API·데이터 계약 확정</x:v>
      </x:c>
      <x:c r="E26" s="30" t="str">
        <x:v>예약 등록·수정·삭제, 요일·시각·집중 시간 설정 → 정상·실패·복구</x:v>
      </x:c>
      <x:c r="F26" s="30" t="str">
        <x:v>예약 1건이 중복 세션을 만들지 않고 실행·건너뜀 결과를 표시</x:v>
      </x:c>
      <x:c r="G26" s="30" t="str">
        <x:v>OPTION-04 / 추가 기능 설계</x:v>
      </x:c>
      <x:c r="H26" s="30" t="str">
        <x:v>미실행</x:v>
      </x:c>
      <x:c r="I26" s="30"/>
      <x:c r="J26" s="30"/>
      <x:c r="K26" s="30"/>
      <x:c r="L26" s="30"/>
      <x:c r="M26" s="30"/>
    </x:row>
    <x:row r="27" ht="75" customHeight="1">
      <x:c r="A27" s="30" t="str">
        <x:v>E2E-22</x:v>
      </x:c>
      <x:c r="B27" s="30" t="str">
        <x:v>학기 필수 추가</x:v>
      </x:c>
      <x:c r="C27" s="30" t="str">
        <x:v>지원 서비스 확대</x:v>
      </x:c>
      <x:c r="D27" s="30" t="str">
        <x:v>정책·API·데이터 계약 확정</x:v>
      </x:c>
      <x:c r="E27" s="30" t="str">
        <x:v>Instagram Reels 등 서비스 내부 기능 제한 → 정상·실패·복구</x:v>
      </x:c>
      <x:c r="F27" s="30" t="str">
        <x:v>Reels만 제한하고 허용 영역 유지, 전체 차단과 중복 집계 없음</x:v>
      </x:c>
      <x:c r="G27" s="30" t="str">
        <x:v>OPTION-05 / 추가 기능 설계</x:v>
      </x:c>
      <x:c r="H27" s="30" t="str">
        <x:v>미실행</x:v>
      </x:c>
      <x:c r="I27" s="30"/>
      <x:c r="J27" s="30"/>
      <x:c r="K27" s="30"/>
      <x:c r="L27" s="30"/>
      <x:c r="M27" s="30"/>
    </x:row>
    <x:row r="28" ht="75" customHeight="1">
      <x:c r="A28" s="30" t="str">
        <x:v>E2E-23</x:v>
      </x:c>
      <x:c r="B28" s="30" t="str">
        <x:v>학기 필수 추가</x:v>
      </x:c>
      <x:c r="C28" s="30" t="str">
        <x:v>사이트 이용 시간</x:v>
      </x:c>
      <x:c r="D28" s="30" t="str">
        <x:v>정책·API·데이터 계약 확정</x:v>
      </x:c>
      <x:c r="E28" s="30" t="str">
        <x:v>등록 사이트의 이용 시간을 기간·사이트별 조회 → 정상·실패·복구</x:v>
      </x:c>
      <x:c r="F28" s="30" t="str">
        <x:v>동시 탭·유휴 시간을 중복 계산하지 않고 시간 합계 일치</x:v>
      </x:c>
      <x:c r="G28" s="30" t="str">
        <x:v>OPTION-06 / 추가 기능 설계</x:v>
      </x:c>
      <x:c r="H28" s="30" t="str">
        <x:v>미실행</x:v>
      </x:c>
      <x:c r="I28" s="30"/>
      <x:c r="J28" s="30"/>
      <x:c r="K28" s="30"/>
      <x:c r="L28" s="30"/>
      <x:c r="M28" s="30"/>
    </x:row>
    <x:row r="29" ht="75" customHeight="1">
      <x:c r="A29" s="30" t="str">
        <x:v>E2E-24</x:v>
      </x:c>
      <x:c r="B29" s="30" t="str">
        <x:v>학기 필수 추가</x:v>
      </x:c>
      <x:c r="C29" s="30" t="str">
        <x:v>행동 기반 지표</x:v>
      </x:c>
      <x:c r="D29" s="30" t="str">
        <x:v>정책·API·데이터 계약 확정</x:v>
      </x:c>
      <x:c r="E29" s="30" t="str">
        <x:v>반복 비율 및 행동 패턴 지표 → 정상·실패·복구</x:v>
      </x:c>
      <x:c r="F29" s="30" t="str">
        <x:v>기준 데이터로 재현 가능, 데이터 부족과 0을 구분</x:v>
      </x:c>
      <x:c r="G29" s="30" t="str">
        <x:v>OPTION-07 / 추가 기능 설계</x:v>
      </x:c>
      <x:c r="H29" s="30" t="str">
        <x:v>미실행</x:v>
      </x:c>
      <x:c r="I29" s="30"/>
      <x:c r="J29" s="30"/>
      <x:c r="K29" s="30"/>
      <x:c r="L29" s="30"/>
      <x:c r="M29" s="30"/>
    </x:row>
    <x:row r="30" ht="75" customHeight="1">
      <x:c r="A30" s="30" t="str">
        <x:v>E2E-25</x:v>
      </x:c>
      <x:c r="B30" s="30" t="str">
        <x:v>학기 필수 추가</x:v>
      </x:c>
      <x:c r="C30" s="30" t="str">
        <x:v>시간대별 패턴·확장 분석</x:v>
      </x:c>
      <x:c r="D30" s="30" t="str">
        <x:v>정책·API·데이터 계약 확정</x:v>
      </x:c>
      <x:c r="E30" s="30" t="str">
        <x:v>시간대별 접근·반복 분포와 기간 분석 → 정상·실패·복구</x:v>
      </x:c>
      <x:c r="F30" s="30" t="str">
        <x:v>시간대 합계와 전체·반복 합계가 같은 원본 기준으로 일치</x:v>
      </x:c>
      <x:c r="G30" s="30" t="str">
        <x:v>OPTION-08 / 추가 기능 설계</x:v>
      </x:c>
      <x:c r="H30" s="30" t="str">
        <x:v>미실행</x:v>
      </x:c>
      <x:c r="I30" s="30"/>
      <x:c r="J30" s="30"/>
      <x:c r="K30" s="30"/>
      <x:c r="L30" s="30"/>
      <x:c r="M30" s="30"/>
    </x:row>
    <x:row r="31" ht="75" customHeight="1">
      <x:c r="A31" s="30" t="str">
        <x:v>E2E-26</x:v>
      </x:c>
      <x:c r="B31" s="30" t="str">
        <x:v>학기 필수 추가</x:v>
      </x:c>
      <x:c r="C31" s="30" t="str">
        <x:v>키워드 제한</x:v>
      </x:c>
      <x:c r="D31" s="30" t="str">
        <x:v>정책·API·데이터 계약 확정</x:v>
      </x:c>
      <x:c r="E31" s="30" t="str">
        <x:v>키워드·검사 위치·예외 사이트 관리 → 정상·실패·복구</x:v>
      </x:c>
      <x:c r="F31" s="30" t="str">
        <x:v>허용 예외와 제한 대상이 구분되고 정책 충돌 시 중복 기록 없음</x:v>
      </x:c>
      <x:c r="G31" s="30" t="str">
        <x:v>OPTION-09 / 추가 기능 설계</x:v>
      </x:c>
      <x:c r="H31" s="30" t="str">
        <x:v>미실행</x:v>
      </x:c>
      <x:c r="I31" s="30"/>
      <x:c r="J31" s="30"/>
      <x:c r="K31" s="30"/>
      <x:c r="L31" s="30"/>
      <x:c r="M31" s="30"/>
    </x:row>
    <x:row r="32" ht="75" customHeight="1">
      <x:c r="A32" s="30" t="str">
        <x:v>E2E-27</x:v>
      </x:c>
      <x:c r="B32" s="30" t="str">
        <x:v>학기 필수 추가</x:v>
      </x:c>
      <x:c r="C32" s="30" t="str">
        <x:v>성인 사이트 제한</x:v>
      </x:c>
      <x:c r="D32" s="30" t="str">
        <x:v>정책·API·데이터 계약 확정</x:v>
      </x:c>
      <x:c r="E32" s="30" t="str">
        <x:v>활성화·도메인 목록·예외·제한 결과 → 정상·실패·복구</x:v>
      </x:c>
      <x:c r="F32" s="30" t="str">
        <x:v>정상 학습 사이트 오차단·예외·실패 시 안내를 검증</x:v>
      </x:c>
      <x:c r="G32" s="30" t="str">
        <x:v>OPTION-10 / 추가 기능 설계</x:v>
      </x:c>
      <x:c r="H32" s="30" t="str">
        <x:v>미실행</x:v>
      </x:c>
      <x:c r="I32" s="30"/>
      <x:c r="J32" s="30"/>
      <x:c r="K32" s="30"/>
      <x:c r="L32" s="30"/>
      <x:c r="M32" s="30"/>
    </x:row>
    <x:row r="33" ht="75" customHeight="1">
      <x:c r="A33" s="30" t="str">
        <x:v>E2E-28</x:v>
      </x:c>
      <x:c r="B33" s="30" t="str">
        <x:v>학기 필수 추가</x:v>
      </x:c>
      <x:c r="C33" s="30" t="str">
        <x:v>민감 이미지 블러</x:v>
      </x:c>
      <x:c r="D33" s="30" t="str">
        <x:v>정책·API·데이터 계약 확정</x:v>
      </x:c>
      <x:c r="E33" s="30" t="str">
        <x:v>활성화·민감도·일시 확인·오탐 처리 → 정상·실패·복구</x:v>
      </x:c>
      <x:c r="F33" s="30" t="str">
        <x:v>지원 환경에서 블러·일시 확인·복원, 오탐·성능·정보 처리 검증</x:v>
      </x:c>
      <x:c r="G33" s="30" t="str">
        <x:v>OPTION-11 / 추가 기능 설계</x:v>
      </x:c>
      <x:c r="H33" s="30" t="str">
        <x:v>미실행</x:v>
      </x:c>
      <x:c r="I33" s="30"/>
      <x:c r="J33" s="30"/>
      <x:c r="K33" s="30"/>
      <x:c r="L33" s="30"/>
      <x:c r="M33" s="30"/>
    </x:row>
    <x:row r="34" ht="75" customHeight="1">
      <x:c r="A34" s="30" t="str">
        <x:v>E2E-29</x:v>
      </x:c>
      <x:c r="B34" s="30" t="str">
        <x:v>학기 필수 추가</x:v>
      </x:c>
      <x:c r="C34" s="30" t="str">
        <x:v>행동 기반 AI 피드백</x:v>
      </x:c>
      <x:c r="D34" s="30" t="str">
        <x:v>정책·API·데이터 계약 확정</x:v>
      </x:c>
      <x:c r="E34" s="30" t="str">
        <x:v>기록 요약·패턴 설명·설정 조정 후보 제공 → 정상·실패·복구</x:v>
      </x:c>
      <x:c r="F34" s="30" t="str">
        <x:v>분석 중·기록 부족·실패 구분, 사용자 확인 없는 정책 변경 없음</x:v>
      </x:c>
      <x:c r="G34" s="30" t="str">
        <x:v>OPTION-12 / 추가 기능 설계</x:v>
      </x:c>
      <x:c r="H34" s="30" t="str">
        <x:v>미실행</x:v>
      </x:c>
      <x:c r="I34" s="30"/>
      <x:c r="J34" s="30"/>
      <x:c r="K34" s="30"/>
      <x:c r="L34" s="30"/>
      <x:c r="M34" s="30"/>
    </x:row>
    <x:row r="35" ht="75" customHeight="1">
      <x:c r="A35" s="30" t="str">
        <x:v>E2E-30</x:v>
      </x:c>
      <x:c r="B35" s="30" t="str">
        <x:v>학기 필수 추가</x:v>
      </x:c>
      <x:c r="C35" s="30" t="str">
        <x:v>일시정지·재개</x:v>
      </x:c>
      <x:c r="D35" s="30" t="str">
        <x:v>정책·API·데이터 계약 확정</x:v>
      </x:c>
      <x:c r="E35" s="30" t="str">
        <x:v>세션 일시정지와 재개 → 정상·실패·복구</x:v>
      </x:c>
      <x:c r="F35" s="30" t="str">
        <x:v>정지·재개 시 실제 정책 상태와 시간·집계가 일치</x:v>
      </x:c>
      <x:c r="G35" s="30" t="str">
        <x:v>SESSION-05 / 추가 기능 설계</x:v>
      </x:c>
      <x:c r="H35" s="30" t="str">
        <x:v>미실행</x:v>
      </x:c>
      <x:c r="I35" s="30"/>
      <x:c r="J35" s="30"/>
      <x:c r="K35" s="30"/>
      <x:c r="L35" s="30"/>
      <x:c r="M35" s="30"/>
    </x:row>
    <x:row r="36" ht="75" customHeight="1">
      <x:c r="A36" s="30" t="str">
        <x:v>E2E-31</x:v>
      </x:c>
      <x:c r="B36" s="30" t="str">
        <x:v>학기 필수 추가</x:v>
      </x:c>
      <x:c r="C36" s="30" t="str">
        <x:v>세션 메모</x:v>
      </x:c>
      <x:c r="D36" s="30" t="str">
        <x:v>정책·API·데이터 계약 확정</x:v>
      </x:c>
      <x:c r="E36" s="30" t="str">
        <x:v>세션별 선택 메모 저장·조회 → 정상·실패·복구</x:v>
      </x:c>
      <x:c r="F36" s="30" t="str">
        <x:v>저장 실패 시 입력 유지, 세션·계정 연결 정확</x:v>
      </x:c>
      <x:c r="G36" s="30" t="str">
        <x:v>SESSION-06 / 추가 기능 설계</x:v>
      </x:c>
      <x:c r="H36" s="30" t="str">
        <x:v>미실행</x:v>
      </x:c>
      <x:c r="I36" s="30"/>
      <x:c r="J36" s="30"/>
      <x:c r="K36" s="30"/>
      <x:c r="L36" s="30"/>
      <x:c r="M36" s="30"/>
    </x:row>
  </x:sheetData>
  <x:mergeCells>
    <x:mergeCell ref="A1:F1"/>
    <x:mergeCell ref="A2:F3"/>
  </x:mergeCells>
  <x:conditionalFormatting sqref="H6:H22">
    <x:cfRule type="expression" dxfId="14" priority="1">
      <x:formula>$H6="통과"</x:formula>
    </x:cfRule>
    <x:cfRule type="expression" dxfId="15" priority="2">
      <x:formula>$H6="보완 필요"</x:formula>
    </x:cfRule>
    <x:cfRule type="expression" dxfId="16" priority="3">
      <x:formula>$H6="차단됨"</x:formula>
    </x:cfRule>
    <x:cfRule type="expression" dxfId="17" priority="4">
      <x:formula>$H6="검토 중"</x:formula>
    </x:cfRule>
    <x:cfRule type="expression" dxfId="18" priority="5">
      <x:formula>$H6="해당 없음"</x:formula>
    </x:cfRule>
    <x:cfRule type="expression" dxfId="19" priority="6">
      <x:formula>$H6="미해결"</x:formula>
    </x:cfRule>
    <x:cfRule type="expression" dxfId="20" priority="7">
      <x:formula>$H6="해결"</x:formula>
    </x:cfRule>
  </x:conditionalFormatting>
  <x:dataValidations count="1">
    <x:dataValidation type="list" sqref="H6:H22">
      <x:formula1>"미실행,실행 중,통과,보완 필요,차단됨,해당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db5b4c50074ce9"/>
  </x:tableParts>
</x:worksheet>
</file>

<file path=xl/worksheets/sheet5.xml><?xml version="1.0" encoding="utf-8"?>
<x:worksheet xmlns:x="http://schemas.openxmlformats.org/spreadsheetml/2006/main">
  <x:sheetPr>
    <x:tabColor rgb="FF246CE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.220000267028809" hidden="0" customWidth="1"/>
    <x:col min="2" max="2" width="10.5600004196167" hidden="0" customWidth="1"/>
    <x:col min="3" max="3" width="20.559999465942383" hidden="0" customWidth="1"/>
    <x:col min="4" max="4" width="21.110000610351562" hidden="0" customWidth="1"/>
    <x:col min="5" max="5" width="14.4399995803833" hidden="0" customWidth="1"/>
    <x:col min="6" max="6" width="16.110000610351562" hidden="0" customWidth="1"/>
    <x:col min="7" max="7" width="13.329999923706055" hidden="0" customWidth="1"/>
    <x:col min="8" max="8" width="14.4399995803833" hidden="0" customWidth="1"/>
    <x:col min="9" max="9" width="31.670000076293945" hidden="0" customWidth="1"/>
  </x:cols>
  <x:sheetData>
    <x:row r="1" ht="38" customHeight="1">
      <x:c r="A1" s="5" t="str">
        <x:v>수치 검증 · 같은 데이터로 화면과 서버를 대조</x:v>
      </x:c>
      <x:c r="B1" s="5"/>
      <x:c r="C1" s="5"/>
      <x:c r="D1" s="5"/>
      <x:c r="E1" s="5"/>
      <x:c r="F1" s="5"/>
      <x:c r="G1" s="3"/>
      <x:c r="H1" s="3"/>
      <x:c r="I1" s="3"/>
    </x:row>
    <x:row r="2" ht="26" customHeight="1">
      <x:c r="A2" s="7" t="str">
        <x:v>기존 Low-Fi의 합계(2026-09-20, Asia/Seoul)를 재현하도록 구성한 제안 테스트 데이터입니다. 아래 개별 시각·ID는 검증용이며 실제 사용자 기록이 아닙니다.</x:v>
      </x:c>
      <x:c r="B2" s="7"/>
      <x:c r="C2" s="7"/>
      <x:c r="D2" s="7"/>
      <x:c r="E2" s="7"/>
      <x:c r="F2" s="7"/>
      <x:c r="G2" s="3"/>
      <x:c r="H2" s="3"/>
      <x:c r="I2" s="3"/>
    </x:row>
    <x:row r="3" ht="26" customHeight="1">
      <x:c r="A3" s="7"/>
      <x:c r="B3" s="7"/>
      <x:c r="C3" s="7"/>
      <x:c r="D3" s="7"/>
      <x:c r="E3" s="7"/>
      <x:c r="F3" s="7"/>
      <x:c r="G3" s="3"/>
      <x:c r="H3" s="3"/>
      <x:c r="I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2" customHeight="1">
      <x:c r="A5" s="8" t="str">
        <x:v>event / attempt ID</x:v>
      </x:c>
      <x:c r="B5" s="8" t="str">
        <x:v>세션</x:v>
      </x:c>
      <x:c r="C5" s="8" t="str">
        <x:v>발생시각 KST</x:v>
      </x:c>
      <x:c r="D5" s="8" t="str">
        <x:v>대상</x:v>
      </x:c>
      <x:c r="E5" s="8" t="str">
        <x:v>행동 유형</x:v>
      </x:c>
      <x:c r="F5" s="8" t="str">
        <x:v>대상별 순번</x:v>
      </x:c>
      <x:c r="G5" s="8" t="str">
        <x:v>반복 여부</x:v>
      </x:c>
      <x:c r="H5" s="8" t="str">
        <x:v>시각 구간</x:v>
      </x:c>
      <x:c r="I5" s="8" t="str">
        <x:v>완료 세션</x:v>
      </x:c>
    </x:row>
    <x:row r="6" ht="42" customHeight="1">
      <x:c r="A6" s="3" t="str">
        <x:v>EV-01</x:v>
      </x:c>
      <x:c r="B6" s="3" t="str">
        <x:v>S1</x:v>
      </x:c>
      <x:c r="C6" s="15" t="n">
        <x:v>46285.381944444445</x:v>
      </x:c>
      <x:c r="D6" s="3" t="str">
        <x:v>Instagram</x:v>
      </x:c>
      <x:c r="E6" s="3" t="str">
        <x:v>차단</x:v>
      </x:c>
      <x:c r="F6" s="17" t="n">
        <x:f>COUNTIFS($B$6:B6,B6,$D$6:D6,D6)</x:f>
        <x:v>1</x:v>
      </x:c>
      <x:c r="G6" s="17" t="n">
        <x:f>IF(F6&gt;1,1,0)</x:f>
        <x:v>0</x:v>
      </x:c>
      <x:c r="H6" s="17" t="str">
        <x:f>IF(B6="S1","09시","14시")</x:f>
        <x:v>09시</x:v>
      </x:c>
      <x:c r="I6" s="3" t="str">
        <x:v>S1 09:00–10:00</x:v>
      </x:c>
    </x:row>
    <x:row r="7" ht="42" customHeight="1">
      <x:c r="A7" s="9" t="str">
        <x:v>EV-02</x:v>
      </x:c>
      <x:c r="B7" s="9" t="str">
        <x:v>S1</x:v>
      </x:c>
      <x:c r="C7" s="16" t="n">
        <x:v>46285.38888888889</x:v>
      </x:c>
      <x:c r="D7" s="9" t="str">
        <x:v>Instagram</x:v>
      </x:c>
      <x:c r="E7" s="9" t="str">
        <x:v>차단</x:v>
      </x:c>
      <x:c r="F7" s="18" t="n">
        <x:f>COUNTIFS($B$6:B7,B7,$D$6:D7,D7)</x:f>
        <x:v>2</x:v>
      </x:c>
      <x:c r="G7" s="18" t="n">
        <x:f>IF(F7&gt;1,1,0)</x:f>
        <x:v>1</x:v>
      </x:c>
      <x:c r="H7" s="18" t="str">
        <x:f>IF(B7="S1","09시","14시")</x:f>
        <x:v>09시</x:v>
      </x:c>
      <x:c r="I7" s="9" t="str">
        <x:v>S1 09:00–10:00</x:v>
      </x:c>
    </x:row>
    <x:row r="8" ht="42" customHeight="1">
      <x:c r="A8" s="3" t="str">
        <x:v>EV-03</x:v>
      </x:c>
      <x:c r="B8" s="3" t="str">
        <x:v>S1</x:v>
      </x:c>
      <x:c r="C8" s="15" t="n">
        <x:v>46285.395833333336</x:v>
      </x:c>
      <x:c r="D8" s="3" t="str">
        <x:v>Reddit</x:v>
      </x:c>
      <x:c r="E8" s="3" t="str">
        <x:v>기록</x:v>
      </x:c>
      <x:c r="F8" s="17" t="n">
        <x:f>COUNTIFS($B$6:B8,B8,$D$6:D8,D8)</x:f>
        <x:v>1</x:v>
      </x:c>
      <x:c r="G8" s="17" t="n">
        <x:f>IF(F8&gt;1,1,0)</x:f>
        <x:v>0</x:v>
      </x:c>
      <x:c r="H8" s="17" t="str">
        <x:f>IF(B8="S1","09시","14시")</x:f>
        <x:v>09시</x:v>
      </x:c>
      <x:c r="I8" s="3" t="str">
        <x:v>S1 09:00–10:00</x:v>
      </x:c>
    </x:row>
    <x:row r="9" ht="42" customHeight="1">
      <x:c r="A9" s="9" t="str">
        <x:v>EV-04</x:v>
      </x:c>
      <x:c r="B9" s="9" t="str">
        <x:v>S1</x:v>
      </x:c>
      <x:c r="C9" s="16" t="n">
        <x:v>46285.40277777778</x:v>
      </x:c>
      <x:c r="D9" s="9" t="str">
        <x:v>YouTube Shorts</x:v>
      </x:c>
      <x:c r="E9" s="9" t="str">
        <x:v>내부 제한</x:v>
      </x:c>
      <x:c r="F9" s="18" t="n">
        <x:f>COUNTIFS($B$6:B9,B9,$D$6:D9,D9)</x:f>
        <x:v>1</x:v>
      </x:c>
      <x:c r="G9" s="18" t="n">
        <x:f>IF(F9&gt;1,1,0)</x:f>
        <x:v>0</x:v>
      </x:c>
      <x:c r="H9" s="18" t="str">
        <x:f>IF(B9="S1","09시","14시")</x:f>
        <x:v>09시</x:v>
      </x:c>
      <x:c r="I9" s="9" t="str">
        <x:v>S1 09:00–10:00</x:v>
      </x:c>
    </x:row>
    <x:row r="10" ht="42" customHeight="1">
      <x:c r="A10" s="3" t="str">
        <x:v>EV-05</x:v>
      </x:c>
      <x:c r="B10" s="3" t="str">
        <x:v>S2</x:v>
      </x:c>
      <x:c r="C10" s="15" t="n">
        <x:v>46285.58472222222</x:v>
      </x:c>
      <x:c r="D10" s="3" t="str">
        <x:v>Reddit</x:v>
      </x:c>
      <x:c r="E10" s="3" t="str">
        <x:v>기록</x:v>
      </x:c>
      <x:c r="F10" s="17" t="n">
        <x:f>COUNTIFS($B$6:B10,B10,$D$6:D10,D10)</x:f>
        <x:v>1</x:v>
      </x:c>
      <x:c r="G10" s="17" t="n">
        <x:f>IF(F10&gt;1,1,0)</x:f>
        <x:v>0</x:v>
      </x:c>
      <x:c r="H10" s="17" t="str">
        <x:f>IF(B10="S1","09시","14시")</x:f>
        <x:v>14시</x:v>
      </x:c>
      <x:c r="I10" s="3" t="str">
        <x:v>S2 14:00–14:30</x:v>
      </x:c>
    </x:row>
    <x:row r="11" ht="42" customHeight="1">
      <x:c r="A11" s="9" t="str">
        <x:v>EV-06</x:v>
      </x:c>
      <x:c r="B11" s="9" t="str">
        <x:v>S2</x:v>
      </x:c>
      <x:c r="C11" s="16" t="n">
        <x:v>46285.58888888889</x:v>
      </x:c>
      <x:c r="D11" s="9" t="str">
        <x:v>Instagram</x:v>
      </x:c>
      <x:c r="E11" s="9" t="str">
        <x:v>차단</x:v>
      </x:c>
      <x:c r="F11" s="18" t="n">
        <x:f>COUNTIFS($B$6:B11,B11,$D$6:D11,D11)</x:f>
        <x:v>1</x:v>
      </x:c>
      <x:c r="G11" s="18" t="n">
        <x:f>IF(F11&gt;1,1,0)</x:f>
        <x:v>0</x:v>
      </x:c>
      <x:c r="H11" s="18" t="str">
        <x:f>IF(B11="S1","09시","14시")</x:f>
        <x:v>14시</x:v>
      </x:c>
      <x:c r="I11" s="9" t="str">
        <x:v>S2 14:00–14:30</x:v>
      </x:c>
    </x:row>
    <x:row r="12" ht="42" customHeight="1">
      <x:c r="A12" s="3" t="str">
        <x:v>EV-07</x:v>
      </x:c>
      <x:c r="B12" s="3" t="str">
        <x:v>S2</x:v>
      </x:c>
      <x:c r="C12" s="15" t="n">
        <x:v>46285.59166666667</x:v>
      </x:c>
      <x:c r="D12" s="3" t="str">
        <x:v>Instagram</x:v>
      </x:c>
      <x:c r="E12" s="3" t="str">
        <x:v>차단</x:v>
      </x:c>
      <x:c r="F12" s="17" t="n">
        <x:f>COUNTIFS($B$6:B12,B12,$D$6:D12,D12)</x:f>
        <x:v>2</x:v>
      </x:c>
      <x:c r="G12" s="17" t="n">
        <x:f>IF(F12&gt;1,1,0)</x:f>
        <x:v>1</x:v>
      </x:c>
      <x:c r="H12" s="17" t="str">
        <x:f>IF(B12="S1","09시","14시")</x:f>
        <x:v>14시</x:v>
      </x:c>
      <x:c r="I12" s="3" t="str">
        <x:v>S2 14:00–14:30</x:v>
      </x:c>
    </x:row>
    <x:row r="13" ht="42" customHeight="1">
      <x:c r="A13" s="9" t="str">
        <x:v>EV-08</x:v>
      </x:c>
      <x:c r="B13" s="9" t="str">
        <x:v>S2</x:v>
      </x:c>
      <x:c r="C13" s="16" t="n">
        <x:v>46285.59444444445</x:v>
      </x:c>
      <x:c r="D13" s="9" t="str">
        <x:v>X</x:v>
      </x:c>
      <x:c r="E13" s="9" t="str">
        <x:v>차단</x:v>
      </x:c>
      <x:c r="F13" s="18" t="n">
        <x:f>COUNTIFS($B$6:B13,B13,$D$6:D13,D13)</x:f>
        <x:v>1</x:v>
      </x:c>
      <x:c r="G13" s="18" t="n">
        <x:f>IF(F13&gt;1,1,0)</x:f>
        <x:v>0</x:v>
      </x:c>
      <x:c r="H13" s="18" t="str">
        <x:f>IF(B13="S1","09시","14시")</x:f>
        <x:v>14시</x:v>
      </x:c>
      <x:c r="I13" s="9" t="str">
        <x:v>S2 14:00–14:30</x:v>
      </x:c>
    </x:row>
    <x:row r="14" ht="42" customHeight="1">
      <x:c r="A14" s="3" t="str">
        <x:v>EV-09</x:v>
      </x:c>
      <x:c r="B14" s="3" t="str">
        <x:v>S2</x:v>
      </x:c>
      <x:c r="C14" s="15" t="n">
        <x:v>46285.59722222222</x:v>
      </x:c>
      <x:c r="D14" s="3" t="str">
        <x:v>Hacker News</x:v>
      </x:c>
      <x:c r="E14" s="3" t="str">
        <x:v>기록</x:v>
      </x:c>
      <x:c r="F14" s="17" t="n">
        <x:f>COUNTIFS($B$6:B14,B14,$D$6:D14,D14)</x:f>
        <x:v>1</x:v>
      </x:c>
      <x:c r="G14" s="17" t="n">
        <x:f>IF(F14&gt;1,1,0)</x:f>
        <x:v>0</x:v>
      </x:c>
      <x:c r="H14" s="17" t="str">
        <x:f>IF(B14="S1","09시","14시")</x:f>
        <x:v>14시</x:v>
      </x:c>
      <x:c r="I14" s="3" t="str">
        <x:v>S2 14:00–14:30</x:v>
      </x:c>
    </x:row>
    <x:row r="15" ht="42" customHeight="1">
      <x:c r="A15" s="9" t="str">
        <x:v>EV-10</x:v>
      </x:c>
      <x:c r="B15" s="9" t="str">
        <x:v>S2</x:v>
      </x:c>
      <x:c r="C15" s="16" t="n">
        <x:v>46285.59930555556</x:v>
      </x:c>
      <x:c r="D15" s="9" t="str">
        <x:v>YouTube Shorts</x:v>
      </x:c>
      <x:c r="E15" s="9" t="str">
        <x:v>내부 제한</x:v>
      </x:c>
      <x:c r="F15" s="18" t="n">
        <x:f>COUNTIFS($B$6:B15,B15,$D$6:D15,D15)</x:f>
        <x:v>1</x:v>
      </x:c>
      <x:c r="G15" s="18" t="n">
        <x:f>IF(F15&gt;1,1,0)</x:f>
        <x:v>0</x:v>
      </x:c>
      <x:c r="H15" s="18" t="str">
        <x:f>IF(B15="S1","09시","14시")</x:f>
        <x:v>14시</x:v>
      </x:c>
      <x:c r="I15" s="9" t="str">
        <x:v>S2 14:00–14:30</x:v>
      </x:c>
    </x:row>
    <x:row r="16" ht="42" customHeight="1">
      <x:c r="A16" s="3" t="str">
        <x:v>EV-11</x:v>
      </x:c>
      <x:c r="B16" s="3" t="str">
        <x:v>S2</x:v>
      </x:c>
      <x:c r="C16" s="15" t="n">
        <x:v>46285.600694444445</x:v>
      </x:c>
      <x:c r="D16" s="3" t="str">
        <x:v>Reddit</x:v>
      </x:c>
      <x:c r="E16" s="3" t="str">
        <x:v>기록</x:v>
      </x:c>
      <x:c r="F16" s="17" t="n">
        <x:f>COUNTIFS($B$6:B16,B16,$D$6:D16,D16)</x:f>
        <x:v>2</x:v>
      </x:c>
      <x:c r="G16" s="17" t="n">
        <x:f>IF(F16&gt;1,1,0)</x:f>
        <x:v>1</x:v>
      </x:c>
      <x:c r="H16" s="17" t="str">
        <x:f>IF(B16="S1","09시","14시")</x:f>
        <x:v>14시</x:v>
      </x:c>
      <x:c r="I16" s="3" t="str">
        <x:v>S2 14:00–14:30</x:v>
      </x:c>
    </x:row>
    <x:row r="17" ht="42" customHeight="1">
      <x:c r="A17" s="9" t="str">
        <x:v>EV-12</x:v>
      </x:c>
      <x:c r="B17" s="9" t="str">
        <x:v>S2</x:v>
      </x:c>
      <x:c r="C17" s="16" t="n">
        <x:v>46285.60277777778</x:v>
      </x:c>
      <x:c r="D17" s="9" t="str">
        <x:v>Instagram</x:v>
      </x:c>
      <x:c r="E17" s="9" t="str">
        <x:v>차단</x:v>
      </x:c>
      <x:c r="F17" s="18" t="n">
        <x:f>COUNTIFS($B$6:B17,B17,$D$6:D17,D17)</x:f>
        <x:v>3</x:v>
      </x:c>
      <x:c r="G17" s="18" t="n">
        <x:f>IF(F17&gt;1,1,0)</x:f>
        <x:v>1</x:v>
      </x:c>
      <x:c r="H17" s="18" t="str">
        <x:f>IF(B17="S1","09시","14시")</x:f>
        <x:v>14시</x:v>
      </x:c>
      <x:c r="I17" s="9" t="str">
        <x:v>S2 14:00–14:30</x:v>
      </x:c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</x:row>
    <x:row r="20" ht="30" customHeight="1">
      <x:c r="A20" s="19" t="str">
        <x:v>기대값과 실제값 · F열에 실제 결과, H열에 증거를 입력</x:v>
      </x:c>
      <x:c r="B20" s="19"/>
      <x:c r="C20" s="19"/>
      <x:c r="D20" s="19"/>
      <x:c r="E20" s="19"/>
      <x:c r="F20" s="19"/>
      <x:c r="G20" s="19"/>
      <x:c r="H20" s="19"/>
      <x:c r="I20" s="19"/>
    </x:row>
    <x:row r="21" ht="32" customHeight="1">
      <x:c r="A21" s="8" t="str">
        <x:v>지표</x:v>
      </x:c>
      <x:c r="B21" s="8" t="str">
        <x:v>설계 기대값</x:v>
      </x:c>
      <x:c r="C21" s="8" t="str">
        <x:v>단위</x:v>
      </x:c>
      <x:c r="D21" s="8" t="str">
        <x:v>의미</x:v>
      </x:c>
      <x:c r="E21" s="8" t="str">
        <x:v>자료 계산값</x:v>
      </x:c>
      <x:c r="F21" s="8" t="str">
        <x:v>제품 실제값</x:v>
      </x:c>
      <x:c r="G21" s="8" t="str">
        <x:v>판정</x:v>
      </x:c>
      <x:c r="H21" s="8" t="str">
        <x:v>증거·캡처</x:v>
      </x:c>
      <x:c r="I21" s="8" t="str">
        <x:v>비고</x:v>
      </x:c>
    </x:row>
    <x:row r="22" ht="38" customHeight="1">
      <x:c r="A22" s="3" t="str">
        <x:v>전체 접근</x:v>
      </x:c>
      <x:c r="B22" s="3" t="n">
        <x:v>12</x:v>
      </x:c>
      <x:c r="C22" s="3" t="str">
        <x:v>회</x:v>
      </x:c>
      <x:c r="D22" s="3" t="str">
        <x:v>차단+기록+내부 제한</x:v>
      </x:c>
      <x:c r="E22" s="3" t="n">
        <x:f>COUNTA(A6:A17)</x:f>
        <x:v>12</x:v>
      </x:c>
      <x:c r="F22" s="11"/>
      <x:c r="G22" s="3" t="str">
        <x:f>IF(F22="","미실행",IF(AND(B22=E22,E22=F22),"일치","불일치"))</x:f>
        <x:v>미실행</x:v>
      </x:c>
      <x:c r="H22" s="11" t="str"/>
      <x:c r="I22" s="11" t="str"/>
    </x:row>
    <x:row r="23" ht="38" customHeight="1">
      <x:c r="A23" s="9" t="str">
        <x:v>차단 접근</x:v>
      </x:c>
      <x:c r="B23" s="9" t="n">
        <x:v>6</x:v>
      </x:c>
      <x:c r="C23" s="9" t="str">
        <x:v>회</x:v>
      </x:c>
      <x:c r="D23" s="9" t="str">
        <x:v>Instagram5 + X1</x:v>
      </x:c>
      <x:c r="E23" s="9" t="n">
        <x:f>COUNTIF(E6:E17,"차단")</x:f>
        <x:v>6</x:v>
      </x:c>
      <x:c r="F23" s="11" t="str"/>
      <x:c r="G23" s="9" t="str">
        <x:f>IF(F23="","미실행",IF(AND(B23=E23,E23=F23),"일치","불일치"))</x:f>
        <x:v>미실행</x:v>
      </x:c>
      <x:c r="H23" s="11" t="str"/>
      <x:c r="I23" s="11" t="str"/>
    </x:row>
    <x:row r="24" ht="38" customHeight="1">
      <x:c r="A24" s="3" t="str">
        <x:v>기록 접근</x:v>
      </x:c>
      <x:c r="B24" s="3" t="n">
        <x:v>4</x:v>
      </x:c>
      <x:c r="C24" s="3" t="str">
        <x:v>회</x:v>
      </x:c>
      <x:c r="D24" s="3" t="str">
        <x:v>Reddit3 + Hacker News1</x:v>
      </x:c>
      <x:c r="E24" s="3" t="n">
        <x:f>COUNTIF(E6:E17,"기록")</x:f>
        <x:v>4</x:v>
      </x:c>
      <x:c r="F24" s="11" t="str"/>
      <x:c r="G24" s="3" t="str">
        <x:f>IF(F24="","미실행",IF(AND(B24=E24,E24=F24),"일치","불일치"))</x:f>
        <x:v>미실행</x:v>
      </x:c>
      <x:c r="H24" s="11" t="str"/>
      <x:c r="I24" s="11" t="str"/>
    </x:row>
    <x:row r="25" ht="38" customHeight="1">
      <x:c r="A25" s="9" t="str">
        <x:v>내부 기능 제한</x:v>
      </x:c>
      <x:c r="B25" s="9" t="n">
        <x:v>2</x:v>
      </x:c>
      <x:c r="C25" s="9" t="str">
        <x:v>회</x:v>
      </x:c>
      <x:c r="D25" s="9" t="str">
        <x:v>YouTube Shorts2</x:v>
      </x:c>
      <x:c r="E25" s="9" t="n">
        <x:f>COUNTIF(E6:E17,"내부 제한")</x:f>
        <x:v>2</x:v>
      </x:c>
      <x:c r="F25" s="11" t="str"/>
      <x:c r="G25" s="9" t="str">
        <x:f>IF(F25="","미실행",IF(AND(B25=E25,E25=F25),"일치","불일치"))</x:f>
        <x:v>미실행</x:v>
      </x:c>
      <x:c r="H25" s="11" t="str"/>
      <x:c r="I25" s="11" t="str"/>
    </x:row>
    <x:row r="26" ht="46" customHeight="1">
      <x:c r="A26" s="3" t="str">
        <x:v>반복 접근</x:v>
      </x:c>
      <x:c r="B26" s="3" t="n">
        <x:v>4</x:v>
      </x:c>
      <x:c r="C26" s="3" t="str">
        <x:v>회</x:v>
      </x:c>
      <x:c r="D26" s="3" t="str">
        <x:v>Instagram3 + Reddit1 / 전체에 포함</x:v>
      </x:c>
      <x:c r="E26" s="3" t="n">
        <x:f>SUM(G6:G17)</x:f>
        <x:v>4</x:v>
      </x:c>
      <x:c r="F26" s="11" t="str"/>
      <x:c r="G26" s="3" t="str">
        <x:f>IF(F26="","미실행",IF(AND(B26=E26,E26=F26),"일치","불일치"))</x:f>
        <x:v>미실행</x:v>
      </x:c>
      <x:c r="H26" s="11" t="str"/>
      <x:c r="I26" s="11" t="str"/>
    </x:row>
    <x:row r="27" ht="38" customHeight="1">
      <x:c r="A27" s="9" t="str">
        <x:v>첫 접근</x:v>
      </x:c>
      <x:c r="B27" s="9" t="n">
        <x:v>8</x:v>
      </x:c>
      <x:c r="C27" s="9" t="str">
        <x:v>회</x:v>
      </x:c>
      <x:c r="D27" s="9" t="str">
        <x:v>전체12 - 반복4</x:v>
      </x:c>
      <x:c r="E27" s="9" t="n">
        <x:f>COUNTA(A6:A17)-SUM(G6:G17)</x:f>
        <x:v>8</x:v>
      </x:c>
      <x:c r="F27" s="11" t="str"/>
      <x:c r="G27" s="9" t="str">
        <x:f>IF(F27="","미실행",IF(AND(B27=E27,E27=F27),"일치","불일치"))</x:f>
        <x:v>미실행</x:v>
      </x:c>
      <x:c r="H27" s="11" t="str"/>
      <x:c r="I27" s="11" t="str"/>
    </x:row>
    <x:row r="28" ht="38" customHeight="1">
      <x:c r="A28" s="3" t="str">
        <x:v>완료 세션</x:v>
      </x:c>
      <x:c r="B28" s="3" t="n">
        <x:v>2</x:v>
      </x:c>
      <x:c r="C28" s="3" t="str">
        <x:v>회</x:v>
      </x:c>
      <x:c r="D28" s="3" t="str">
        <x:v>S1·S2 모두 완료</x:v>
      </x:c>
      <x:c r="E28" s="3" t="n">
        <x:f>2</x:f>
        <x:v>2</x:v>
      </x:c>
      <x:c r="F28" s="11" t="str"/>
      <x:c r="G28" s="3" t="str">
        <x:f>IF(F28="","미실행",IF(AND(B28=E28,E28=F28),"일치","불일치"))</x:f>
        <x:v>미실행</x:v>
      </x:c>
      <x:c r="H28" s="11" t="str"/>
      <x:c r="I28" s="11" t="str"/>
    </x:row>
    <x:row r="29" ht="38" customHeight="1">
      <x:c r="A29" s="9" t="str">
        <x:v>집중 시간</x:v>
      </x:c>
      <x:c r="B29" s="9" t="n">
        <x:v>90</x:v>
      </x:c>
      <x:c r="C29" s="9" t="str">
        <x:v>분</x:v>
      </x:c>
      <x:c r="D29" s="9" t="str">
        <x:v>S1 60 + S2 30</x:v>
      </x:c>
      <x:c r="E29" s="9" t="n">
        <x:f>60+30</x:f>
        <x:v>90</x:v>
      </x:c>
      <x:c r="F29" s="11" t="str"/>
      <x:c r="G29" s="9" t="str">
        <x:f>IF(F29="","미실행",IF(AND(B29=E29,E29=F29),"일치","불일치"))</x:f>
        <x:v>미실행</x:v>
      </x:c>
      <x:c r="H29" s="11" t="str"/>
      <x:c r="I29" s="11" t="str"/>
    </x:row>
    <x:row r="30" ht="38" customHeight="1">
      <x:c r="A30" s="3" t="str">
        <x:v>09시 전체</x:v>
      </x:c>
      <x:c r="B30" s="3" t="n">
        <x:v>4</x:v>
      </x:c>
      <x:c r="C30" s="3" t="str">
        <x:v>회</x:v>
      </x:c>
      <x:c r="D30" s="3" t="str">
        <x:v>첫3 + 반복1</x:v>
      </x:c>
      <x:c r="E30" s="3" t="n">
        <x:f>COUNTIF(H6:H17,"09시")</x:f>
        <x:v>4</x:v>
      </x:c>
      <x:c r="F30" s="11" t="str"/>
      <x:c r="G30" s="3" t="str">
        <x:f>IF(F30="","미실행",IF(AND(B30=E30,E30=F30),"일치","불일치"))</x:f>
        <x:v>미실행</x:v>
      </x:c>
      <x:c r="H30" s="11" t="str"/>
      <x:c r="I30" s="11" t="str"/>
    </x:row>
    <x:row r="31" ht="38" customHeight="1">
      <x:c r="A31" s="9" t="str">
        <x:v>09시 반복</x:v>
      </x:c>
      <x:c r="B31" s="9" t="n">
        <x:v>1</x:v>
      </x:c>
      <x:c r="C31" s="9" t="str">
        <x:v>회</x:v>
      </x:c>
      <x:c r="D31" s="9" t="str">
        <x:v>Instagram1</x:v>
      </x:c>
      <x:c r="E31" s="9" t="n">
        <x:f>SUMIF(H6:H17,"09시",G6:G17)</x:f>
        <x:v>1</x:v>
      </x:c>
      <x:c r="F31" s="11" t="str"/>
      <x:c r="G31" s="9" t="str">
        <x:f>IF(F31="","미실행",IF(AND(B31=E31,E31=F31),"일치","불일치"))</x:f>
        <x:v>미실행</x:v>
      </x:c>
      <x:c r="H31" s="11" t="str"/>
      <x:c r="I31" s="11" t="str"/>
    </x:row>
    <x:row r="32" ht="38" customHeight="1">
      <x:c r="A32" s="3" t="str">
        <x:v>14시 전체</x:v>
      </x:c>
      <x:c r="B32" s="3" t="n">
        <x:v>8</x:v>
      </x:c>
      <x:c r="C32" s="3" t="str">
        <x:v>회</x:v>
      </x:c>
      <x:c r="D32" s="3" t="str">
        <x:v>첫5 + 반복3</x:v>
      </x:c>
      <x:c r="E32" s="3" t="n">
        <x:f>COUNTIF(H6:H17,"14시")</x:f>
        <x:v>8</x:v>
      </x:c>
      <x:c r="F32" s="11" t="str"/>
      <x:c r="G32" s="3" t="str">
        <x:f>IF(F32="","미실행",IF(AND(B32=E32,E32=F32),"일치","불일치"))</x:f>
        <x:v>미실행</x:v>
      </x:c>
      <x:c r="H32" s="11" t="str"/>
      <x:c r="I32" s="11" t="str"/>
    </x:row>
    <x:row r="33" ht="38" customHeight="1">
      <x:c r="A33" s="9" t="str">
        <x:v>14시 반복</x:v>
      </x:c>
      <x:c r="B33" s="9" t="n">
        <x:v>3</x:v>
      </x:c>
      <x:c r="C33" s="9" t="str">
        <x:v>회</x:v>
      </x:c>
      <x:c r="D33" s="9" t="str">
        <x:v>Instagram2 + Reddit1</x:v>
      </x:c>
      <x:c r="E33" s="9" t="n">
        <x:f>SUMIF(H6:H17,"14시",G6:G17)</x:f>
        <x:v>3</x:v>
      </x:c>
      <x:c r="F33" s="11" t="str"/>
      <x:c r="G33" s="9" t="str">
        <x:f>IF(F33="","미실행",IF(AND(B33=E33,E33=F33),"일치","불일치"))</x:f>
        <x:v>미실행</x:v>
      </x:c>
      <x:c r="H33" s="11" t="str"/>
      <x:c r="I33" s="11" t="str"/>
    </x:row>
    <x:row r="34" ht="38" customHeight="1">
      <x:c r="A34" s="3" t="str">
        <x:v>등록 사이트</x:v>
      </x:c>
      <x:c r="B34" s="3" t="n">
        <x:v>8</x:v>
      </x:c>
      <x:c r="C34" s="3" t="str">
        <x:v>개</x:v>
      </x:c>
      <x:c r="D34" s="3" t="str">
        <x:v>집중3 + 방해4 + 일반1</x:v>
      </x:c>
      <x:c r="E34" s="3" t="n">
        <x:f>3+4+1</x:f>
        <x:v>8</x:v>
      </x:c>
      <x:c r="F34" s="11" t="str"/>
      <x:c r="G34" s="3" t="str">
        <x:f>IF(F34="","미실행",IF(AND(B34=E34,E34=F34),"일치","불일치"))</x:f>
        <x:v>미실행</x:v>
      </x:c>
      <x:c r="H34" s="11" t="str"/>
      <x:c r="I34" s="11" t="str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19" t="str">
        <x:v>분류 도넛 · 접근 유형과 다른 분류 기준</x:v>
      </x:c>
      <x:c r="B37" s="19"/>
      <x:c r="C37" s="19"/>
      <x:c r="D37" s="19"/>
      <x:c r="E37" s="19"/>
      <x:c r="F37" s="19"/>
      <x:c r="G37" s="19"/>
      <x:c r="H37" s="19"/>
      <x:c r="I37" s="19"/>
    </x:row>
    <x:row r="38" ht="32" customHeight="1">
      <x:c r="A38" s="8" t="str">
        <x:v>분류</x:v>
      </x:c>
      <x:c r="B38" s="8" t="str">
        <x:v>사이트 수</x:v>
      </x:c>
      <x:c r="C38" s="8" t="str">
        <x:v>비율</x:v>
      </x:c>
      <x:c r="D38" s="8" t="str">
        <x:v>해석</x:v>
      </x:c>
      <x:c r="E38" s="8" t="str">
        <x:v>상태</x:v>
      </x:c>
      <x:c r="F38" s="3"/>
      <x:c r="G38" s="3"/>
      <x:c r="H38" s="3"/>
      <x:c r="I38" s="3"/>
    </x:row>
    <x:row r="39" ht="38" customHeight="1">
      <x:c r="A39" s="3" t="str">
        <x:v>집중 대상</x:v>
      </x:c>
      <x:c r="B39" s="3" t="n">
        <x:v>3</x:v>
      </x:c>
      <x:c r="C39" s="20" t="n">
        <x:f>B39/SUM($B$39:$B$41)</x:f>
        <x:v>0.375</x:v>
      </x:c>
      <x:c r="D39" s="3" t="str">
        <x:v>이용 목적 분류</x:v>
      </x:c>
      <x:c r="E39" s="3" t="str">
        <x:v>현재 등록 설정</x:v>
      </x:c>
      <x:c r="F39" s="3"/>
      <x:c r="G39" s="3"/>
      <x:c r="H39" s="3"/>
      <x:c r="I39" s="3"/>
    </x:row>
    <x:row r="40" ht="38" customHeight="1">
      <x:c r="A40" s="9" t="str">
        <x:v>방해 대상</x:v>
      </x:c>
      <x:c r="B40" s="9" t="n">
        <x:v>4</x:v>
      </x:c>
      <x:c r="C40" s="21" t="n">
        <x:f>B40/SUM($B$39:$B$41)</x:f>
        <x:v>0.5</x:v>
      </x:c>
      <x:c r="D40" s="9" t="str">
        <x:v>이용 목적 분류</x:v>
      </x:c>
      <x:c r="E40" s="9" t="str">
        <x:v>현재 등록 설정</x:v>
      </x:c>
      <x:c r="F40" s="3"/>
      <x:c r="G40" s="3"/>
      <x:c r="H40" s="3"/>
      <x:c r="I40" s="3"/>
    </x:row>
    <x:row r="41" ht="38" customHeight="1">
      <x:c r="A41" s="3" t="str">
        <x:v>일반 이용</x:v>
      </x:c>
      <x:c r="B41" s="3" t="n">
        <x:v>1</x:v>
      </x:c>
      <x:c r="C41" s="20" t="n">
        <x:f>B41/SUM($B$39:$B$41)</x:f>
        <x:v>0.125</x:v>
      </x:c>
      <x:c r="D41" s="3" t="str">
        <x:v>이용 목적 분류</x:v>
      </x:c>
      <x:c r="E41" s="3" t="str">
        <x:v>현재 등록 설정</x:v>
      </x:c>
      <x:c r="F41" s="3"/>
      <x:c r="G41" s="3"/>
      <x:c r="H41" s="3"/>
      <x:c r="I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</x:row>
    <x:row r="44" ht="22" customHeight="1">
      <x:c r="A44" s="3" t="str">
        <x:v>근거: FOCURVE_LowFi_설계.md 74~95행. 세션별 같은 대상의 첫 접근을 제외해 반복을 계산합니다. 실제 엔진의 순번·이벤트 충돌 규칙은 결정할 사항에서 먼저 통일하세요. API 테스트에는 원본 Event Schema의 필수 필드·UTC·정책 스냅샷도 채워야 합니다.</x:v>
      </x:c>
      <x:c r="B44" s="3"/>
      <x:c r="C44" s="3"/>
      <x:c r="D44" s="3"/>
      <x:c r="E44" s="3"/>
      <x:c r="F44" s="3"/>
      <x:c r="G44" s="3"/>
      <x:c r="H44" s="3"/>
      <x:c r="I44" s="3"/>
    </x:row>
    <x:row r="45" ht="22" customHeight="1">
      <x:c r="A45" s="3"/>
      <x:c r="B45" s="3"/>
      <x:c r="C45" s="3"/>
      <x:c r="D45" s="3"/>
      <x:c r="E45" s="3"/>
      <x:c r="F45" s="3"/>
      <x:c r="G45" s="3"/>
      <x:c r="H45" s="3"/>
      <x:c r="I45" s="3"/>
    </x:row>
    <x:row r="46" ht="22" customHeight="1">
      <x:c r="A46" s="3"/>
      <x:c r="B46" s="3"/>
      <x:c r="C46" s="3"/>
      <x:c r="D46" s="3"/>
      <x:c r="E46" s="3"/>
      <x:c r="F46" s="3"/>
      <x:c r="G46" s="3"/>
      <x:c r="H46" s="3"/>
      <x:c r="I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</x:row>
  </x:sheetData>
  <x:mergeCells>
    <x:mergeCell ref="A1:F1"/>
    <x:mergeCell ref="A2:F3"/>
    <x:mergeCell ref="A20:I20"/>
    <x:mergeCell ref="A37:I37"/>
    <x:mergeCell ref="A44:I46"/>
  </x:mergeCells>
  <x:pageMargins left="0.7" right="0.7" top="0.75" bottom="0.75" header="0.3" footer="0.3"/>
  <x:tableParts count="3">
    <x:tablePart xmlns:r="http://schemas.openxmlformats.org/officeDocument/2006/relationships" r:id="Rf802c3d270c84bc3"/>
    <x:tablePart xmlns:r="http://schemas.openxmlformats.org/officeDocument/2006/relationships" r:id="Ra5aa19780b524ee0"/>
    <x:tablePart xmlns:r="http://schemas.openxmlformats.org/officeDocument/2006/relationships" r:id="R445bbfe6bd3241d4"/>
  </x:tableParts>
</x:worksheet>
</file>

<file path=xl/worksheets/sheet6.xml><?xml version="1.0" encoding="utf-8"?>
<x:worksheet xmlns:x="http://schemas.openxmlformats.org/spreadsheetml/2006/main">
  <x:sheetPr>
    <x:tabColor rgb="FF246CE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3.329999923706055" hidden="0" customWidth="1"/>
    <x:col min="3" max="3" width="15" hidden="0" customWidth="1"/>
    <x:col min="4" max="4" width="15" hidden="0" customWidth="1"/>
    <x:col min="5" max="5" width="24.440000534057617" hidden="0" customWidth="1"/>
    <x:col min="6" max="6" width="24.440000534057617" hidden="0" customWidth="1"/>
    <x:col min="7" max="7" width="28.889999389648438" hidden="0" customWidth="1"/>
    <x:col min="8" max="8" width="28.889999389648438" hidden="0" customWidth="1"/>
    <x:col min="9" max="9" width="12.220000267028809" hidden="0" customWidth="1"/>
    <x:col min="10" max="10" width="12.779999732971191" hidden="0" customWidth="1"/>
  </x:cols>
  <x:sheetData>
    <x:row r="1" ht="38" customHeight="1">
      <x:c r="A1" s="5" t="str">
        <x:v>사용자 테스트 · 5명 × 5과제</x:v>
      </x:c>
      <x:c r="B1" s="5"/>
      <x:c r="C1" s="5"/>
      <x:c r="D1" s="5"/>
      <x:c r="E1" s="5"/>
      <x:c r="F1" s="5"/>
      <x:c r="G1" s="3"/>
      <x:c r="H1" s="3"/>
      <x:c r="I1" s="3"/>
      <x:c r="J1" s="3"/>
    </x:row>
    <x:row r="2" ht="26" customHeight="1">
      <x:c r="A2" s="7" t="str">
        <x:v>기획 p.84~88의 기준입니다. 참여자는 U01~U05로 기록하고 이름 등 개인정보는 최소화하세요. 진행자의 클릭 지시·정답 힌트가 있으면 해당 과제는 실패입니다.</x:v>
      </x:c>
      <x:c r="B2" s="7"/>
      <x:c r="C2" s="7"/>
      <x:c r="D2" s="7"/>
      <x:c r="E2" s="7"/>
      <x:c r="F2" s="7"/>
      <x:c r="G2" s="3"/>
      <x:c r="H2" s="3"/>
      <x:c r="I2" s="3"/>
      <x:c r="J2" s="3"/>
    </x:row>
    <x:row r="3" ht="26" customHeight="1">
      <x:c r="A3" s="7"/>
      <x:c r="B3" s="7"/>
      <x:c r="C3" s="7"/>
      <x:c r="D3" s="7"/>
      <x:c r="E3" s="7"/>
      <x:c r="F3" s="7"/>
      <x:c r="G3" s="3"/>
      <x:c r="H3" s="3"/>
      <x:c r="I3" s="3"/>
      <x:c r="J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2" customHeight="1">
      <x:c r="A5" s="8" t="str">
        <x:v>과제</x:v>
      </x:c>
      <x:c r="B5" s="8" t="str">
        <x:v>이름</x:v>
      </x:c>
      <x:c r="C5" s="8" t="str">
        <x:v>성공 기준</x:v>
      </x:c>
      <x:c r="D5" s="8"/>
      <x:c r="E5" s="8"/>
      <x:c r="F5" s="8"/>
      <x:c r="G5" s="8"/>
      <x:c r="H5" s="8"/>
      <x:c r="I5" s="8"/>
      <x:c r="J5" s="8"/>
    </x:row>
    <x:row r="6" ht="38" customHeight="1">
      <x:c r="A6" s="3" t="str">
        <x:v>Q1</x:v>
      </x:c>
      <x:c r="B6" s="3" t="str">
        <x:v>사이트 등록·분류</x:v>
      </x:c>
      <x:c r="C6" s="3" t="str">
        <x:v>세 분류의 의미를 구별하고 지정 사이트를 의도한 분류로 저장</x:v>
      </x:c>
      <x:c r="D6" s="3"/>
      <x:c r="E6" s="3"/>
      <x:c r="F6" s="3"/>
      <x:c r="G6" s="3"/>
      <x:c r="H6" s="3"/>
      <x:c r="I6" s="3"/>
      <x:c r="J6" s="3"/>
    </x:row>
    <x:row r="7" ht="38" customHeight="1">
      <x:c r="A7" s="3" t="str">
        <x:v>Q2</x:v>
      </x:c>
      <x:c r="B7" s="3" t="str">
        <x:v>관리 방식 설정</x:v>
      </x:c>
      <x:c r="C7" s="3" t="str">
        <x:v>전체 차단·기록·Shorts 제한의 차이를 설명하고 각각 저장</x:v>
      </x:c>
      <x:c r="D7" s="3"/>
      <x:c r="E7" s="3"/>
      <x:c r="F7" s="3"/>
      <x:c r="G7" s="3"/>
      <x:c r="H7" s="3"/>
      <x:c r="I7" s="3"/>
      <x:c r="J7" s="3"/>
    </x:row>
    <x:row r="8" ht="38" customHeight="1">
      <x:c r="A8" s="3" t="str">
        <x:v>Q3</x:v>
      </x:c>
      <x:c r="B8" s="3" t="str">
        <x:v>집중 실행·종료</x:v>
      </x:c>
      <x:c r="C8" s="3" t="str">
        <x:v>차단·기록·Shorts 제한 확인, 일반 영상 정상 이용 후 정상 종료</x:v>
      </x:c>
      <x:c r="D8" s="3"/>
      <x:c r="E8" s="3"/>
      <x:c r="F8" s="3"/>
      <x:c r="G8" s="3"/>
      <x:c r="H8" s="3"/>
      <x:c r="I8" s="3"/>
      <x:c r="J8" s="3"/>
    </x:row>
    <x:row r="9" ht="38" customHeight="1">
      <x:c r="A9" s="3" t="str">
        <x:v>Q4</x:v>
      </x:c>
      <x:c r="B9" s="3" t="str">
        <x:v>기록 해석</x:v>
      </x:c>
      <x:c r="C9" s="3" t="str">
        <x:v>차단 접근을 실제 이용으로 오해하지 않고 내부 제한·반복을 설명</x:v>
      </x:c>
      <x:c r="D9" s="3"/>
      <x:c r="E9" s="3"/>
      <x:c r="F9" s="3"/>
      <x:c r="G9" s="3"/>
      <x:c r="H9" s="3"/>
      <x:c r="I9" s="3"/>
      <x:c r="J9" s="3"/>
    </x:row>
    <x:row r="10" ht="38" customHeight="1">
      <x:c r="A10" s="3" t="str">
        <x:v>Q5</x:v>
      </x:c>
      <x:c r="B10" s="3" t="str">
        <x:v>다음 설정 조정</x:v>
      </x:c>
      <x:c r="C10" s="3" t="str">
        <x:v>기록에 근거한 변경 이유를 설명하고 다음 세션 설정 저장</x:v>
      </x:c>
      <x:c r="D10" s="3"/>
      <x:c r="E10" s="3"/>
      <x:c r="F10" s="3"/>
      <x:c r="G10" s="3"/>
      <x:c r="H10" s="3"/>
      <x:c r="I10" s="3"/>
      <x:c r="J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30" customHeight="1">
      <x:c r="A12" s="19" t="str">
        <x:v>수행 기록 · 같은 시작 조건, 독립 수행, 익명 참여자 5명</x:v>
      </x:c>
      <x:c r="B12" s="19"/>
      <x:c r="C12" s="19"/>
      <x:c r="D12" s="19"/>
      <x:c r="E12" s="19"/>
      <x:c r="F12" s="19"/>
      <x:c r="G12" s="19"/>
      <x:c r="H12" s="19"/>
      <x:c r="I12" s="19"/>
      <x:c r="J12" s="19"/>
    </x:row>
    <x:row r="13" ht="32" customHeight="1">
      <x:c r="A13" s="8" t="str">
        <x:v>참여자</x:v>
      </x:c>
      <x:c r="B13" s="8" t="str">
        <x:v>과제</x:v>
      </x:c>
      <x:c r="C13" s="8" t="str">
        <x:v>판정</x:v>
      </x:c>
      <x:c r="D13" s="8" t="str">
        <x:v>소요 초</x:v>
      </x:c>
      <x:c r="E13" s="8" t="str">
        <x:v>도움 내용</x:v>
      </x:c>
      <x:c r="F13" s="8" t="str">
        <x:v>실패·막힌 지점</x:v>
      </x:c>
      <x:c r="G13" s="8" t="str">
        <x:v>실제 발언·관찰</x:v>
      </x:c>
      <x:c r="H13" s="8" t="str">
        <x:v>증거·환경·날짜</x:v>
      </x:c>
      <x:c r="I13" s="8" t="str">
        <x:v>진행자</x:v>
      </x:c>
      <x:c r="J13" s="8" t="str">
        <x:v>재검증</x:v>
      </x:c>
    </x:row>
    <x:row r="14" ht="38" customHeight="1">
      <x:c r="A14" s="3" t="str">
        <x:v>U01</x:v>
      </x:c>
      <x:c r="B14" s="3" t="str">
        <x:v>Q1</x:v>
      </x:c>
      <x:c r="C14" s="11" t="str">
        <x:v>미실행</x:v>
      </x:c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38" customHeight="1">
      <x:c r="A15" s="9" t="str">
        <x:v>U01</x:v>
      </x:c>
      <x:c r="B15" s="9" t="str">
        <x:v>Q2</x:v>
      </x:c>
      <x:c r="C15" s="11" t="str">
        <x:v>미실행</x:v>
      </x:c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8" customHeight="1">
      <x:c r="A16" s="3" t="str">
        <x:v>U01</x:v>
      </x:c>
      <x:c r="B16" s="3" t="str">
        <x:v>Q3</x:v>
      </x:c>
      <x:c r="C16" s="11" t="str">
        <x:v>미실행</x:v>
      </x:c>
      <x:c r="D16" s="11" t="str"/>
      <x:c r="E16" s="11" t="str"/>
      <x:c r="F16" s="11" t="str"/>
      <x:c r="G16" s="11" t="str"/>
      <x:c r="H16" s="11" t="str"/>
      <x:c r="I16" s="11" t="str"/>
      <x:c r="J16" s="11" t="str"/>
    </x:row>
    <x:row r="17" ht="38" customHeight="1">
      <x:c r="A17" s="9" t="str">
        <x:v>U01</x:v>
      </x:c>
      <x:c r="B17" s="9" t="str">
        <x:v>Q4</x:v>
      </x:c>
      <x:c r="C17" s="11" t="str">
        <x:v>미실행</x:v>
      </x:c>
      <x:c r="D17" s="11" t="str"/>
      <x:c r="E17" s="11" t="str"/>
      <x:c r="F17" s="11" t="str"/>
      <x:c r="G17" s="11" t="str"/>
      <x:c r="H17" s="11" t="str"/>
      <x:c r="I17" s="11" t="str"/>
      <x:c r="J17" s="11" t="str"/>
    </x:row>
    <x:row r="18" ht="38" customHeight="1">
      <x:c r="A18" s="3" t="str">
        <x:v>U01</x:v>
      </x:c>
      <x:c r="B18" s="3" t="str">
        <x:v>Q5</x:v>
      </x:c>
      <x:c r="C18" s="11" t="str">
        <x:v>미실행</x:v>
      </x:c>
      <x:c r="D18" s="11" t="str"/>
      <x:c r="E18" s="11" t="str"/>
      <x:c r="F18" s="11" t="str"/>
      <x:c r="G18" s="11" t="str"/>
      <x:c r="H18" s="11" t="str"/>
      <x:c r="I18" s="11" t="str"/>
      <x:c r="J18" s="11" t="str"/>
    </x:row>
    <x:row r="19" ht="38" customHeight="1">
      <x:c r="A19" s="9" t="str">
        <x:v>U02</x:v>
      </x:c>
      <x:c r="B19" s="9" t="str">
        <x:v>Q1</x:v>
      </x:c>
      <x:c r="C19" s="11" t="str">
        <x:v>미실행</x:v>
      </x:c>
      <x:c r="D19" s="11" t="str"/>
      <x:c r="E19" s="11" t="str"/>
      <x:c r="F19" s="11" t="str"/>
      <x:c r="G19" s="11" t="str"/>
      <x:c r="H19" s="11" t="str"/>
      <x:c r="I19" s="11" t="str"/>
      <x:c r="J19" s="11" t="str"/>
    </x:row>
    <x:row r="20" ht="38" customHeight="1">
      <x:c r="A20" s="3" t="str">
        <x:v>U02</x:v>
      </x:c>
      <x:c r="B20" s="3" t="str">
        <x:v>Q2</x:v>
      </x:c>
      <x:c r="C20" s="11" t="str">
        <x:v>미실행</x:v>
      </x:c>
      <x:c r="D20" s="11" t="str"/>
      <x:c r="E20" s="11" t="str"/>
      <x:c r="F20" s="11" t="str"/>
      <x:c r="G20" s="11" t="str"/>
      <x:c r="H20" s="11" t="str"/>
      <x:c r="I20" s="11" t="str"/>
      <x:c r="J20" s="11" t="str"/>
    </x:row>
    <x:row r="21" ht="38" customHeight="1">
      <x:c r="A21" s="9" t="str">
        <x:v>U02</x:v>
      </x:c>
      <x:c r="B21" s="9" t="str">
        <x:v>Q3</x:v>
      </x:c>
      <x:c r="C21" s="11" t="str">
        <x:v>미실행</x:v>
      </x:c>
      <x:c r="D21" s="11" t="str"/>
      <x:c r="E21" s="11" t="str"/>
      <x:c r="F21" s="11" t="str"/>
      <x:c r="G21" s="11" t="str"/>
      <x:c r="H21" s="11" t="str"/>
      <x:c r="I21" s="11" t="str"/>
      <x:c r="J21" s="11" t="str"/>
    </x:row>
    <x:row r="22" ht="38" customHeight="1">
      <x:c r="A22" s="3" t="str">
        <x:v>U02</x:v>
      </x:c>
      <x:c r="B22" s="3" t="str">
        <x:v>Q4</x:v>
      </x:c>
      <x:c r="C22" s="11" t="str">
        <x:v>미실행</x:v>
      </x:c>
      <x:c r="D22" s="11" t="str"/>
      <x:c r="E22" s="11" t="str"/>
      <x:c r="F22" s="11" t="str"/>
      <x:c r="G22" s="11" t="str"/>
      <x:c r="H22" s="11" t="str"/>
      <x:c r="I22" s="11" t="str"/>
      <x:c r="J22" s="11" t="str"/>
    </x:row>
    <x:row r="23" ht="38" customHeight="1">
      <x:c r="A23" s="9" t="str">
        <x:v>U02</x:v>
      </x:c>
      <x:c r="B23" s="9" t="str">
        <x:v>Q5</x:v>
      </x:c>
      <x:c r="C23" s="11" t="str">
        <x:v>미실행</x:v>
      </x:c>
      <x:c r="D23" s="11" t="str"/>
      <x:c r="E23" s="11" t="str"/>
      <x:c r="F23" s="11" t="str"/>
      <x:c r="G23" s="11" t="str"/>
      <x:c r="H23" s="11" t="str"/>
      <x:c r="I23" s="11" t="str"/>
      <x:c r="J23" s="11" t="str"/>
    </x:row>
    <x:row r="24" ht="38" customHeight="1">
      <x:c r="A24" s="3" t="str">
        <x:v>U03</x:v>
      </x:c>
      <x:c r="B24" s="3" t="str">
        <x:v>Q1</x:v>
      </x:c>
      <x:c r="C24" s="11" t="str">
        <x:v>미실행</x:v>
      </x:c>
      <x:c r="D24" s="11" t="str"/>
      <x:c r="E24" s="11" t="str"/>
      <x:c r="F24" s="11" t="str"/>
      <x:c r="G24" s="11" t="str"/>
      <x:c r="H24" s="11" t="str"/>
      <x:c r="I24" s="11" t="str"/>
      <x:c r="J24" s="11" t="str"/>
    </x:row>
    <x:row r="25" ht="38" customHeight="1">
      <x:c r="A25" s="9" t="str">
        <x:v>U03</x:v>
      </x:c>
      <x:c r="B25" s="9" t="str">
        <x:v>Q2</x:v>
      </x:c>
      <x:c r="C25" s="11" t="str">
        <x:v>미실행</x:v>
      </x:c>
      <x:c r="D25" s="11" t="str"/>
      <x:c r="E25" s="11" t="str"/>
      <x:c r="F25" s="11" t="str"/>
      <x:c r="G25" s="11" t="str"/>
      <x:c r="H25" s="11" t="str"/>
      <x:c r="I25" s="11" t="str"/>
      <x:c r="J25" s="11" t="str"/>
    </x:row>
    <x:row r="26" ht="38" customHeight="1">
      <x:c r="A26" s="3" t="str">
        <x:v>U03</x:v>
      </x:c>
      <x:c r="B26" s="3" t="str">
        <x:v>Q3</x:v>
      </x:c>
      <x:c r="C26" s="11" t="str">
        <x:v>미실행</x:v>
      </x:c>
      <x:c r="D26" s="11" t="str"/>
      <x:c r="E26" s="11" t="str"/>
      <x:c r="F26" s="11" t="str"/>
      <x:c r="G26" s="11" t="str"/>
      <x:c r="H26" s="11" t="str"/>
      <x:c r="I26" s="11" t="str"/>
      <x:c r="J26" s="11" t="str"/>
    </x:row>
    <x:row r="27" ht="38" customHeight="1">
      <x:c r="A27" s="9" t="str">
        <x:v>U03</x:v>
      </x:c>
      <x:c r="B27" s="9" t="str">
        <x:v>Q4</x:v>
      </x:c>
      <x:c r="C27" s="11" t="str">
        <x:v>미실행</x:v>
      </x:c>
      <x:c r="D27" s="11" t="str"/>
      <x:c r="E27" s="11" t="str"/>
      <x:c r="F27" s="11" t="str"/>
      <x:c r="G27" s="11" t="str"/>
      <x:c r="H27" s="11" t="str"/>
      <x:c r="I27" s="11" t="str"/>
      <x:c r="J27" s="11" t="str"/>
    </x:row>
    <x:row r="28" ht="38" customHeight="1">
      <x:c r="A28" s="3" t="str">
        <x:v>U03</x:v>
      </x:c>
      <x:c r="B28" s="3" t="str">
        <x:v>Q5</x:v>
      </x:c>
      <x:c r="C28" s="11" t="str">
        <x:v>미실행</x:v>
      </x:c>
      <x:c r="D28" s="11" t="str"/>
      <x:c r="E28" s="11" t="str"/>
      <x:c r="F28" s="11" t="str"/>
      <x:c r="G28" s="11" t="str"/>
      <x:c r="H28" s="11" t="str"/>
      <x:c r="I28" s="11" t="str"/>
      <x:c r="J28" s="11" t="str"/>
    </x:row>
    <x:row r="29" ht="38" customHeight="1">
      <x:c r="A29" s="9" t="str">
        <x:v>U04</x:v>
      </x:c>
      <x:c r="B29" s="9" t="str">
        <x:v>Q1</x:v>
      </x:c>
      <x:c r="C29" s="11" t="str">
        <x:v>미실행</x:v>
      </x:c>
      <x:c r="D29" s="11" t="str"/>
      <x:c r="E29" s="11" t="str"/>
      <x:c r="F29" s="11" t="str"/>
      <x:c r="G29" s="11" t="str"/>
      <x:c r="H29" s="11" t="str"/>
      <x:c r="I29" s="11" t="str"/>
      <x:c r="J29" s="11" t="str"/>
    </x:row>
    <x:row r="30" ht="38" customHeight="1">
      <x:c r="A30" s="3" t="str">
        <x:v>U04</x:v>
      </x:c>
      <x:c r="B30" s="3" t="str">
        <x:v>Q2</x:v>
      </x:c>
      <x:c r="C30" s="11" t="str">
        <x:v>미실행</x:v>
      </x:c>
      <x:c r="D30" s="11" t="str"/>
      <x:c r="E30" s="11" t="str"/>
      <x:c r="F30" s="11" t="str"/>
      <x:c r="G30" s="11" t="str"/>
      <x:c r="H30" s="11" t="str"/>
      <x:c r="I30" s="11" t="str"/>
      <x:c r="J30" s="11" t="str"/>
    </x:row>
    <x:row r="31" ht="38" customHeight="1">
      <x:c r="A31" s="9" t="str">
        <x:v>U04</x:v>
      </x:c>
      <x:c r="B31" s="9" t="str">
        <x:v>Q3</x:v>
      </x:c>
      <x:c r="C31" s="11" t="str">
        <x:v>미실행</x:v>
      </x:c>
      <x:c r="D31" s="11" t="str"/>
      <x:c r="E31" s="11" t="str"/>
      <x:c r="F31" s="11" t="str"/>
      <x:c r="G31" s="11" t="str"/>
      <x:c r="H31" s="11" t="str"/>
      <x:c r="I31" s="11" t="str"/>
      <x:c r="J31" s="11" t="str"/>
    </x:row>
    <x:row r="32" ht="38" customHeight="1">
      <x:c r="A32" s="3" t="str">
        <x:v>U04</x:v>
      </x:c>
      <x:c r="B32" s="3" t="str">
        <x:v>Q4</x:v>
      </x:c>
      <x:c r="C32" s="11" t="str">
        <x:v>미실행</x:v>
      </x:c>
      <x:c r="D32" s="11" t="str"/>
      <x:c r="E32" s="11" t="str"/>
      <x:c r="F32" s="11" t="str"/>
      <x:c r="G32" s="11" t="str"/>
      <x:c r="H32" s="11" t="str"/>
      <x:c r="I32" s="11" t="str"/>
      <x:c r="J32" s="11" t="str"/>
    </x:row>
    <x:row r="33" ht="38" customHeight="1">
      <x:c r="A33" s="9" t="str">
        <x:v>U04</x:v>
      </x:c>
      <x:c r="B33" s="9" t="str">
        <x:v>Q5</x:v>
      </x:c>
      <x:c r="C33" s="11" t="str">
        <x:v>미실행</x:v>
      </x:c>
      <x:c r="D33" s="11" t="str"/>
      <x:c r="E33" s="11" t="str"/>
      <x:c r="F33" s="11" t="str"/>
      <x:c r="G33" s="11" t="str"/>
      <x:c r="H33" s="11" t="str"/>
      <x:c r="I33" s="11" t="str"/>
      <x:c r="J33" s="11" t="str"/>
    </x:row>
    <x:row r="34" ht="38" customHeight="1">
      <x:c r="A34" s="3" t="str">
        <x:v>U05</x:v>
      </x:c>
      <x:c r="B34" s="3" t="str">
        <x:v>Q1</x:v>
      </x:c>
      <x:c r="C34" s="11" t="str">
        <x:v>미실행</x:v>
      </x:c>
      <x:c r="D34" s="11" t="str"/>
      <x:c r="E34" s="11" t="str"/>
      <x:c r="F34" s="11" t="str"/>
      <x:c r="G34" s="11" t="str"/>
      <x:c r="H34" s="11" t="str"/>
      <x:c r="I34" s="11" t="str"/>
      <x:c r="J34" s="11" t="str"/>
    </x:row>
    <x:row r="35" ht="38" customHeight="1">
      <x:c r="A35" s="9" t="str">
        <x:v>U05</x:v>
      </x:c>
      <x:c r="B35" s="9" t="str">
        <x:v>Q2</x:v>
      </x:c>
      <x:c r="C35" s="11" t="str">
        <x:v>미실행</x:v>
      </x:c>
      <x:c r="D35" s="11" t="str"/>
      <x:c r="E35" s="11" t="str"/>
      <x:c r="F35" s="11" t="str"/>
      <x:c r="G35" s="11" t="str"/>
      <x:c r="H35" s="11" t="str"/>
      <x:c r="I35" s="11" t="str"/>
      <x:c r="J35" s="11" t="str"/>
    </x:row>
    <x:row r="36" ht="38" customHeight="1">
      <x:c r="A36" s="3" t="str">
        <x:v>U05</x:v>
      </x:c>
      <x:c r="B36" s="3" t="str">
        <x:v>Q3</x:v>
      </x:c>
      <x:c r="C36" s="11" t="str">
        <x:v>미실행</x:v>
      </x:c>
      <x:c r="D36" s="11" t="str"/>
      <x:c r="E36" s="11" t="str"/>
      <x:c r="F36" s="11" t="str"/>
      <x:c r="G36" s="11" t="str"/>
      <x:c r="H36" s="11" t="str"/>
      <x:c r="I36" s="11" t="str"/>
      <x:c r="J36" s="11" t="str"/>
    </x:row>
    <x:row r="37" ht="38" customHeight="1">
      <x:c r="A37" s="9" t="str">
        <x:v>U05</x:v>
      </x:c>
      <x:c r="B37" s="9" t="str">
        <x:v>Q4</x:v>
      </x:c>
      <x:c r="C37" s="11" t="str">
        <x:v>미실행</x:v>
      </x:c>
      <x:c r="D37" s="11" t="str"/>
      <x:c r="E37" s="11" t="str"/>
      <x:c r="F37" s="11" t="str"/>
      <x:c r="G37" s="11" t="str"/>
      <x:c r="H37" s="11" t="str"/>
      <x:c r="I37" s="11" t="str"/>
      <x:c r="J37" s="11" t="str"/>
    </x:row>
    <x:row r="38" ht="38" customHeight="1">
      <x:c r="A38" s="3" t="str">
        <x:v>U05</x:v>
      </x:c>
      <x:c r="B38" s="3" t="str">
        <x:v>Q5</x:v>
      </x:c>
      <x:c r="C38" s="11" t="str">
        <x:v>미실행</x:v>
      </x:c>
      <x:c r="D38" s="11" t="str"/>
      <x:c r="E38" s="11" t="str"/>
      <x:c r="F38" s="11" t="str"/>
      <x:c r="G38" s="11" t="str"/>
      <x:c r="H38" s="11" t="str"/>
      <x:c r="I38" s="11" t="str"/>
      <x:c r="J38" s="11" t="str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30" customHeight="1">
      <x:c r="A40" s="19" t="str">
        <x:v>개념 이해·기록 활용 · 각각 5명 중 4명 이상</x:v>
      </x:c>
      <x:c r="B40" s="19"/>
      <x:c r="C40" s="19"/>
      <x:c r="D40" s="19"/>
      <x:c r="E40" s="19"/>
      <x:c r="F40" s="19"/>
      <x:c r="G40" s="19"/>
      <x:c r="H40" s="19"/>
      <x:c r="I40" s="19"/>
      <x:c r="J40" s="19"/>
    </x:row>
    <x:row r="41" ht="32" customHeight="1">
      <x:c r="A41" s="8" t="str">
        <x:v>참여자</x:v>
      </x:c>
      <x:c r="B41" s="8" t="str">
        <x:v>개념 이해</x:v>
      </x:c>
      <x:c r="C41" s="8" t="str">
        <x:v>기록 활용</x:v>
      </x:c>
      <x:c r="D41" s="8" t="str">
        <x:v>주요 오해</x:v>
      </x:c>
      <x:c r="E41" s="8" t="str">
        <x:v>변경 전 설정</x:v>
      </x:c>
      <x:c r="F41" s="8" t="str">
        <x:v>변경 후 설정</x:v>
      </x:c>
      <x:c r="G41" s="8" t="str">
        <x:v>선택 이유 / 발언</x:v>
      </x:c>
      <x:c r="H41" s="8" t="str">
        <x:v>참여 조건·관찰</x:v>
      </x:c>
      <x:c r="I41" s="8" t="str">
        <x:v>진행자</x:v>
      </x:c>
      <x:c r="J41" s="8" t="str">
        <x:v>검토일</x:v>
      </x:c>
    </x:row>
    <x:row r="42" ht="38" customHeight="1">
      <x:c r="A42" s="3" t="str">
        <x:v>U01</x:v>
      </x:c>
      <x:c r="B42" s="11" t="str">
        <x:v>미실행</x:v>
      </x:c>
      <x:c r="C42" s="11" t="str">
        <x:v>미실행</x:v>
      </x:c>
      <x:c r="D42" s="11" t="str"/>
      <x:c r="E42" s="11" t="str"/>
      <x:c r="F42" s="11" t="str"/>
      <x:c r="G42" s="11" t="str"/>
      <x:c r="H42" s="11" t="str"/>
      <x:c r="I42" s="11" t="str"/>
      <x:c r="J42" s="11" t="str"/>
    </x:row>
    <x:row r="43" ht="38" customHeight="1">
      <x:c r="A43" s="9" t="str">
        <x:v>U02</x:v>
      </x:c>
      <x:c r="B43" s="11" t="str">
        <x:v>미실행</x:v>
      </x:c>
      <x:c r="C43" s="11" t="str">
        <x:v>미실행</x:v>
      </x:c>
      <x:c r="D43" s="11" t="str"/>
      <x:c r="E43" s="11" t="str"/>
      <x:c r="F43" s="11" t="str"/>
      <x:c r="G43" s="11" t="str"/>
      <x:c r="H43" s="11" t="str"/>
      <x:c r="I43" s="11" t="str"/>
      <x:c r="J43" s="11" t="str"/>
    </x:row>
    <x:row r="44" ht="38" customHeight="1">
      <x:c r="A44" s="3" t="str">
        <x:v>U03</x:v>
      </x:c>
      <x:c r="B44" s="11" t="str">
        <x:v>미실행</x:v>
      </x:c>
      <x:c r="C44" s="11" t="str">
        <x:v>미실행</x:v>
      </x:c>
      <x:c r="D44" s="11" t="str"/>
      <x:c r="E44" s="11" t="str"/>
      <x:c r="F44" s="11" t="str"/>
      <x:c r="G44" s="11" t="str"/>
      <x:c r="H44" s="11" t="str"/>
      <x:c r="I44" s="11" t="str"/>
      <x:c r="J44" s="11" t="str"/>
    </x:row>
    <x:row r="45" ht="38" customHeight="1">
      <x:c r="A45" s="9" t="str">
        <x:v>U04</x:v>
      </x:c>
      <x:c r="B45" s="11" t="str">
        <x:v>미실행</x:v>
      </x:c>
      <x:c r="C45" s="11" t="str">
        <x:v>미실행</x:v>
      </x:c>
      <x:c r="D45" s="11" t="str"/>
      <x:c r="E45" s="11" t="str"/>
      <x:c r="F45" s="11" t="str"/>
      <x:c r="G45" s="11" t="str"/>
      <x:c r="H45" s="11" t="str"/>
      <x:c r="I45" s="11" t="str"/>
      <x:c r="J45" s="11" t="str"/>
    </x:row>
    <x:row r="46" ht="38" customHeight="1">
      <x:c r="A46" s="3" t="str">
        <x:v>U05</x:v>
      </x:c>
      <x:c r="B46" s="11" t="str">
        <x:v>미실행</x:v>
      </x:c>
      <x:c r="C46" s="11" t="str">
        <x:v>미실행</x:v>
      </x:c>
      <x:c r="D46" s="11" t="str"/>
      <x:c r="E46" s="11" t="str"/>
      <x:c r="F46" s="11" t="str"/>
      <x:c r="G46" s="11" t="str"/>
      <x:c r="H46" s="11" t="str"/>
      <x:c r="I46" s="11" t="str"/>
      <x:c r="J46" s="11" t="str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</x:row>
    <x:row r="48" ht="30" customHeight="1">
      <x:c r="A48" s="19" t="str">
        <x:v>집계 · 미실행을 성공률 분모에서 빼지 않습니다</x:v>
      </x:c>
      <x:c r="B48" s="19"/>
      <x:c r="C48" s="19"/>
      <x:c r="D48" s="19"/>
      <x:c r="E48" s="19"/>
      <x:c r="F48" s="19"/>
      <x:c r="G48" s="19"/>
      <x:c r="H48" s="19"/>
      <x:c r="I48" s="19"/>
      <x:c r="J48" s="19"/>
    </x:row>
    <x:row r="49" ht="32" customHeight="1">
      <x:c r="A49" s="8" t="str">
        <x:v>항목</x:v>
      </x:c>
      <x:c r="B49" s="8" t="str">
        <x:v>예정 횟수</x:v>
      </x:c>
      <x:c r="C49" s="8" t="str">
        <x:v>필요 성공</x:v>
      </x:c>
      <x:c r="D49" s="8" t="str">
        <x:v>성공 횟수</x:v>
      </x:c>
      <x:c r="E49" s="8" t="str">
        <x:v>성공률</x:v>
      </x:c>
      <x:c r="F49" s="8" t="str">
        <x:v>실행 횟수</x:v>
      </x:c>
      <x:c r="G49" s="8" t="str">
        <x:v>판정</x:v>
      </x:c>
      <x:c r="H49" s="3"/>
      <x:c r="I49" s="3"/>
      <x:c r="J49" s="3"/>
    </x:row>
    <x:row r="50" ht="38" customHeight="1">
      <x:c r="A50" s="3" t="str">
        <x:v>전체 과제</x:v>
      </x:c>
      <x:c r="B50" s="3" t="n">
        <x:v>25</x:v>
      </x:c>
      <x:c r="C50" s="3" t="n">
        <x:v>20</x:v>
      </x:c>
      <x:c r="D50" s="3" t="n">
        <x:f>COUNTIF(C14:C38,"성공")</x:f>
        <x:v>0</x:v>
      </x:c>
      <x:c r="E50" s="22" t="n">
        <x:f>D50/B50</x:f>
        <x:v>0</x:v>
      </x:c>
      <x:c r="F50" s="3" t="n">
        <x:f>COUNTIF(C14:C38,"성공")+COUNTIF(C14:C38,"실패")</x:f>
        <x:v>0</x:v>
      </x:c>
      <x:c r="G50" s="3" t="str">
        <x:f>IF(F50&lt;B50,"미완료",IF(D50&gt;=C50,"기준 충족","재검증 필요"))</x:f>
        <x:v>미완료</x:v>
      </x:c>
      <x:c r="H50" s="3"/>
      <x:c r="I50" s="3"/>
      <x:c r="J50" s="3"/>
    </x:row>
    <x:row r="51" ht="38" customHeight="1">
      <x:c r="A51" s="9" t="str">
        <x:v>Q1</x:v>
      </x:c>
      <x:c r="B51" s="9" t="n">
        <x:v>5</x:v>
      </x:c>
      <x:c r="C51" s="9" t="n">
        <x:v>4</x:v>
      </x:c>
      <x:c r="D51" s="9" t="n">
        <x:f>COUNTIFS(B14:B38,A51,C14:C38,"성공")</x:f>
        <x:v>0</x:v>
      </x:c>
      <x:c r="E51" s="23" t="n">
        <x:f>D51/B51</x:f>
        <x:v>0</x:v>
      </x:c>
      <x:c r="F51" s="9" t="n">
        <x:f>COUNTIFS(B14:B38,A51,C14:C38,"성공")+COUNTIFS(B14:B38,A51,C14:C38,"실패")</x:f>
        <x:v>0</x:v>
      </x:c>
      <x:c r="G51" s="9" t="str">
        <x:f>IF(F51&lt;B51,"미완료",IF(D51&gt;=C51,"기준 충족","재검증 필요"))</x:f>
        <x:v>미완료</x:v>
      </x:c>
      <x:c r="H51" s="3"/>
      <x:c r="I51" s="3"/>
      <x:c r="J51" s="3"/>
    </x:row>
    <x:row r="52" ht="38" customHeight="1">
      <x:c r="A52" s="3" t="str">
        <x:v>Q2</x:v>
      </x:c>
      <x:c r="B52" s="3" t="n">
        <x:v>5</x:v>
      </x:c>
      <x:c r="C52" s="3" t="n">
        <x:v>4</x:v>
      </x:c>
      <x:c r="D52" s="3" t="n">
        <x:f>COUNTIFS(B14:B38,A52,C14:C38,"성공")</x:f>
        <x:v>0</x:v>
      </x:c>
      <x:c r="E52" s="22" t="n">
        <x:f>D52/B52</x:f>
        <x:v>0</x:v>
      </x:c>
      <x:c r="F52" s="3" t="n">
        <x:f>COUNTIFS(B14:B38,A52,C14:C38,"성공")+COUNTIFS(B14:B38,A52,C14:C38,"실패")</x:f>
        <x:v>0</x:v>
      </x:c>
      <x:c r="G52" s="3" t="str">
        <x:f>IF(F52&lt;B52,"미완료",IF(D52&gt;=C52,"기준 충족","재검증 필요"))</x:f>
        <x:v>미완료</x:v>
      </x:c>
      <x:c r="H52" s="3"/>
      <x:c r="I52" s="3"/>
      <x:c r="J52" s="3"/>
    </x:row>
    <x:row r="53" ht="38" customHeight="1">
      <x:c r="A53" s="9" t="str">
        <x:v>Q3</x:v>
      </x:c>
      <x:c r="B53" s="9" t="n">
        <x:v>5</x:v>
      </x:c>
      <x:c r="C53" s="9" t="n">
        <x:v>4</x:v>
      </x:c>
      <x:c r="D53" s="9" t="n">
        <x:f>COUNTIFS(B14:B38,A53,C14:C38,"성공")</x:f>
        <x:v>0</x:v>
      </x:c>
      <x:c r="E53" s="23" t="n">
        <x:f>D53/B53</x:f>
        <x:v>0</x:v>
      </x:c>
      <x:c r="F53" s="9" t="n">
        <x:f>COUNTIFS(B14:B38,A53,C14:C38,"성공")+COUNTIFS(B14:B38,A53,C14:C38,"실패")</x:f>
        <x:v>0</x:v>
      </x:c>
      <x:c r="G53" s="9" t="str">
        <x:f>IF(F53&lt;B53,"미완료",IF(D53&gt;=C53,"기준 충족","재검증 필요"))</x:f>
        <x:v>미완료</x:v>
      </x:c>
      <x:c r="H53" s="3"/>
      <x:c r="I53" s="3"/>
      <x:c r="J53" s="3"/>
    </x:row>
    <x:row r="54" ht="38" customHeight="1">
      <x:c r="A54" s="3" t="str">
        <x:v>Q4</x:v>
      </x:c>
      <x:c r="B54" s="3" t="n">
        <x:v>5</x:v>
      </x:c>
      <x:c r="C54" s="3" t="n">
        <x:v>4</x:v>
      </x:c>
      <x:c r="D54" s="3" t="n">
        <x:f>COUNTIFS(B14:B38,A54,C14:C38,"성공")</x:f>
        <x:v>0</x:v>
      </x:c>
      <x:c r="E54" s="22" t="n">
        <x:f>D54/B54</x:f>
        <x:v>0</x:v>
      </x:c>
      <x:c r="F54" s="3" t="n">
        <x:f>COUNTIFS(B14:B38,A54,C14:C38,"성공")+COUNTIFS(B14:B38,A54,C14:C38,"실패")</x:f>
        <x:v>0</x:v>
      </x:c>
      <x:c r="G54" s="3" t="str">
        <x:f>IF(F54&lt;B54,"미완료",IF(D54&gt;=C54,"기준 충족","재검증 필요"))</x:f>
        <x:v>미완료</x:v>
      </x:c>
      <x:c r="H54" s="3"/>
      <x:c r="I54" s="3"/>
      <x:c r="J54" s="3"/>
    </x:row>
    <x:row r="55" ht="38" customHeight="1">
      <x:c r="A55" s="9" t="str">
        <x:v>Q5</x:v>
      </x:c>
      <x:c r="B55" s="9" t="n">
        <x:v>5</x:v>
      </x:c>
      <x:c r="C55" s="9" t="n">
        <x:v>4</x:v>
      </x:c>
      <x:c r="D55" s="9" t="n">
        <x:f>COUNTIFS(B14:B38,A55,C14:C38,"성공")</x:f>
        <x:v>0</x:v>
      </x:c>
      <x:c r="E55" s="23" t="n">
        <x:f>D55/B55</x:f>
        <x:v>0</x:v>
      </x:c>
      <x:c r="F55" s="9" t="n">
        <x:f>COUNTIFS(B14:B38,A55,C14:C38,"성공")+COUNTIFS(B14:B38,A55,C14:C38,"실패")</x:f>
        <x:v>0</x:v>
      </x:c>
      <x:c r="G55" s="9" t="str">
        <x:f>IF(F55&lt;B55,"미완료",IF(D55&gt;=C55,"기준 충족","재검증 필요"))</x:f>
        <x:v>미완료</x:v>
      </x:c>
      <x:c r="H55" s="3"/>
      <x:c r="I55" s="3"/>
      <x:c r="J55" s="3"/>
    </x:row>
    <x:row r="56" ht="38" customHeight="1">
      <x:c r="A56" s="3" t="str">
        <x:v>개념 이해</x:v>
      </x:c>
      <x:c r="B56" s="3" t="n">
        <x:v>5</x:v>
      </x:c>
      <x:c r="C56" s="3" t="n">
        <x:v>4</x:v>
      </x:c>
      <x:c r="D56" s="3" t="n">
        <x:f>COUNTIF(B42:B46,"성공")</x:f>
        <x:v>0</x:v>
      </x:c>
      <x:c r="E56" s="22" t="n">
        <x:f>D56/B56</x:f>
        <x:v>0</x:v>
      </x:c>
      <x:c r="F56" s="3" t="n">
        <x:f>COUNTIF(B42:B46,"성공")+COUNTIF(B42:B46,"실패")</x:f>
        <x:v>0</x:v>
      </x:c>
      <x:c r="G56" s="3" t="str">
        <x:f>IF(F56&lt;B56,"미완료",IF(D56&gt;=C56,"기준 충족","재검증 필요"))</x:f>
        <x:v>미완료</x:v>
      </x:c>
      <x:c r="H56" s="3"/>
      <x:c r="I56" s="3"/>
      <x:c r="J56" s="3"/>
    </x:row>
    <x:row r="57" ht="38" customHeight="1">
      <x:c r="A57" s="9" t="str">
        <x:v>기록 활용</x:v>
      </x:c>
      <x:c r="B57" s="9" t="n">
        <x:v>5</x:v>
      </x:c>
      <x:c r="C57" s="9" t="n">
        <x:v>4</x:v>
      </x:c>
      <x:c r="D57" s="9" t="n">
        <x:f>COUNTIF(C42:C46,"성공")</x:f>
        <x:v>0</x:v>
      </x:c>
      <x:c r="E57" s="23" t="n">
        <x:f>D57/B57</x:f>
        <x:v>0</x:v>
      </x:c>
      <x:c r="F57" s="9" t="n">
        <x:f>COUNTIF(C42:C46,"성공")+COUNTIF(C42:C46,"실패")</x:f>
        <x:v>0</x:v>
      </x:c>
      <x:c r="G57" s="9" t="str">
        <x:f>IF(F57&lt;B57,"미완료",IF(D57&gt;=C57,"기준 충족","재검증 필요"))</x:f>
        <x:v>미완료</x:v>
      </x:c>
      <x:c r="H57" s="3"/>
      <x:c r="I57" s="3"/>
      <x:c r="J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</x:row>
    <x:row r="60">
      <x:c r="A60" s="3" t="str">
        <x:v>근거: FOCURVE_프로젝트_기획안_v1.0_20260918(2).pdf p.84~88 §6.5~6.6. 전체 20/25 이상뿐 아니라 각 과제·개념 이해·기록 활용도 각각 4/5 이상이어야 합니다. 소규모 사용성 결과만으로 장기 집중력 향상이나 경쟁 서비스보다 우수함을 결론 내리지 않습니다.</x:v>
      </x:c>
      <x:c r="B60" s="3"/>
      <x:c r="C60" s="3"/>
      <x:c r="D60" s="3"/>
      <x:c r="E60" s="3"/>
      <x:c r="F60" s="3"/>
      <x:c r="G60" s="3"/>
      <x:c r="H60" s="3"/>
      <x:c r="I60" s="3"/>
      <x:c r="J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</x:row>
  </x:sheetData>
  <x:mergeCells>
    <x:mergeCell ref="A1:F1"/>
    <x:mergeCell ref="A2:F3"/>
    <x:mergeCell ref="C5:J5"/>
    <x:mergeCell ref="C6:J6"/>
    <x:mergeCell ref="C7:J7"/>
    <x:mergeCell ref="C8:J8"/>
    <x:mergeCell ref="C9:J9"/>
    <x:mergeCell ref="C10:J10"/>
    <x:mergeCell ref="A12:J12"/>
    <x:mergeCell ref="A40:J40"/>
    <x:mergeCell ref="A48:J48"/>
    <x:mergeCell ref="A60:J62"/>
  </x:mergeCells>
  <x:dataValidations count="2">
    <x:dataValidation type="list" sqref="C14:C38">
      <x:formula1>"미실행,성공,실패"</x:formula1>
    </x:dataValidation>
    <x:dataValidation type="list" sqref="B42:C46">
      <x:formula1>"미실행,성공,실패"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8d584b0aa7504441"/>
    <x:tablePart xmlns:r="http://schemas.openxmlformats.org/officeDocument/2006/relationships" r:id="R7b903f3340fe44ea"/>
    <x:tablePart xmlns:r="http://schemas.openxmlformats.org/officeDocument/2006/relationships" r:id="R077795db650f4ce6"/>
  </x:tableParts>
</x:worksheet>
</file>

<file path=xl/worksheets/sheet7.xml><?xml version="1.0" encoding="utf-8"?>
<x:worksheet xmlns:x="http://schemas.openxmlformats.org/spreadsheetml/2006/main">
  <x:sheetPr>
    <x:tabColor rgb="FF246CE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.779999732971191" hidden="0" customWidth="1"/>
    <x:col min="2" max="2" width="18.889999389648438" hidden="0" customWidth="1"/>
    <x:col min="3" max="3" width="21.110000610351562" hidden="0" customWidth="1"/>
    <x:col min="4" max="4" width="27.219999313354492" hidden="0" customWidth="1"/>
    <x:col min="5" max="5" width="41.11000061035156" hidden="0" customWidth="1"/>
    <x:col min="6" max="6" width="28.889999389648438" hidden="0" customWidth="1"/>
    <x:col min="7" max="7" width="28.889999389648438" hidden="0" customWidth="1"/>
    <x:col min="8" max="8" width="21.110000610351562" hidden="0" customWidth="1"/>
    <x:col min="9" max="9" width="28.889999389648438" hidden="0" customWidth="1"/>
  </x:cols>
  <x:sheetData>
    <x:row r="1" ht="38" customHeight="1">
      <x:c r="A1" s="5" t="str">
        <x:v>화면·개발 범위</x:v>
      </x:c>
      <x:c r="B1" s="5"/>
      <x:c r="C1" s="5"/>
      <x:c r="D1" s="5"/>
      <x:c r="E1" s="5"/>
      <x:c r="F1" s="5"/>
      <x:c r="G1" s="3"/>
      <x:c r="H1" s="3"/>
      <x:c r="I1" s="3"/>
    </x:row>
    <x:row r="2" ht="26" customHeight="1">
      <x:c r="A2" s="7" t="str">
        <x:v>기본·추가 기능은 학기 내 구현·검수·테스트 대상이다. 화면 링크는 설계 위치이며 실행 검증 결과가 아니다.</x:v>
      </x:c>
      <x:c r="B2" s="7"/>
      <x:c r="C2" s="7"/>
      <x:c r="D2" s="7"/>
      <x:c r="E2" s="7"/>
      <x:c r="F2" s="7"/>
      <x:c r="G2" s="3"/>
      <x:c r="H2" s="3"/>
      <x:c r="I2" s="3"/>
    </x:row>
    <x:row r="3" ht="26" customHeight="1">
      <x:c r="A3" s="7"/>
      <x:c r="B3" s="7"/>
      <x:c r="C3" s="7"/>
      <x:c r="D3" s="7"/>
      <x:c r="E3" s="7"/>
      <x:c r="F3" s="7"/>
      <x:c r="G3" s="3"/>
      <x:c r="H3" s="3"/>
      <x:c r="I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32" customHeight="1">
      <x:c r="A5" s="8" t="str">
        <x:v>화면 ID</x:v>
      </x:c>
      <x:c r="B5" s="8" t="str">
        <x:v>화면 이름</x:v>
      </x:c>
      <x:c r="C5" s="8" t="str">
        <x:v>구현 영역</x:v>
      </x:c>
      <x:c r="D5" s="8" t="str">
        <x:v>관련 흐름</x:v>
      </x:c>
      <x:c r="E5" s="8" t="str">
        <x:v>명세 제공 상태</x:v>
      </x:c>
      <x:c r="F5" s="8" t="str">
        <x:v>상세 명세 / 근거</x:v>
      </x:c>
      <x:c r="G5" s="8" t="str">
        <x:v>현재 High-Fi 링크·버전</x:v>
      </x:c>
      <x:c r="H5" s="8" t="str">
        <x:v>연결 상태</x:v>
      </x:c>
      <x:c r="I5" s="8" t="str">
        <x:v>Low-Fi 참고 링크</x:v>
      </x:c>
    </x:row>
    <x:row r="6" ht="46" customHeight="1">
      <x:c r="A6" s="3" t="str">
        <x:v>LOGIN-01</x:v>
      </x:c>
      <x:c r="B6" s="3" t="str">
        <x:v>로그인</x:v>
      </x:c>
      <x:c r="C6" s="3" t="str">
        <x:v>Web</x:v>
      </x:c>
      <x:c r="D6" s="3" t="str">
        <x:v>TF-12</x:v>
      </x:c>
      <x:c r="E6" s="3" t="str">
        <x:v>Low-Fi 개요 있음 / 항목별 상세 엑셀 미제공</x:v>
      </x:c>
      <x:c r="F6" s="3" t="str">
        <x:v>Low-Fi 개요 참조</x:v>
      </x:c>
      <x:c r="G6" s="11" t="str">
        <x:v>https://www.figma.com/design/TmEt1UQV5jIhrArfijGwQe?node-id=356-1595</x:v>
      </x:c>
      <x:c r="H6" s="11" t="str">
        <x:v>설계 링크</x:v>
      </x:c>
      <x:c r="I6" s="3" t="str">
        <x:v>https://www.figma.com/design/TmEt1UQV5jIhrArfijGwQe?node-id=2-646</x:v>
      </x:c>
    </x:row>
    <x:row r="7" ht="46" customHeight="1">
      <x:c r="A7" s="9" t="str">
        <x:v>SIGNUP-01</x:v>
      </x:c>
      <x:c r="B7" s="9" t="str">
        <x:v>회원가입</x:v>
      </x:c>
      <x:c r="C7" s="9" t="str">
        <x:v>Web</x:v>
      </x:c>
      <x:c r="D7" s="9" t="str">
        <x:v>TF-12</x:v>
      </x:c>
      <x:c r="E7" s="9" t="str">
        <x:v>Low-Fi 개요 있음 / 항목별 상세 엑셀 미제공</x:v>
      </x:c>
      <x:c r="F7" s="9" t="str">
        <x:v>Low-Fi 개요 참조</x:v>
      </x:c>
      <x:c r="G7" s="11" t="str">
        <x:v>https://www.figma.com/design/TmEt1UQV5jIhrArfijGwQe?node-id=356-1612</x:v>
      </x:c>
      <x:c r="H7" s="11" t="str">
        <x:v>설계 링크</x:v>
      </x:c>
      <x:c r="I7" s="9" t="str">
        <x:v>https://www.figma.com/design/TmEt1UQV5jIhrArfijGwQe?node-id=2-687</x:v>
      </x:c>
    </x:row>
    <x:row r="8" ht="46" customHeight="1">
      <x:c r="A8" s="3" t="str">
        <x:v>DASH-01</x:v>
      </x:c>
      <x:c r="B8" s="3" t="str">
        <x:v>대시보드</x:v>
      </x:c>
      <x:c r="C8" s="3" t="str">
        <x:v>Web</x:v>
      </x:c>
      <x:c r="D8" s="3" t="str">
        <x:v>TF-09, TF-10, TF-12</x:v>
      </x:c>
      <x:c r="E8" s="3" t="str">
        <x:v>Low-Fi 개요 있음 / 항목별 상세 엑셀 미제공</x:v>
      </x:c>
      <x:c r="F8" s="3" t="str">
        <x:v>Low-Fi 개요 참조</x:v>
      </x:c>
      <x:c r="G8" s="11" t="str">
        <x:v>https://www.figma.com/design/TmEt1UQV5jIhrArfijGwQe?node-id=356-1644</x:v>
      </x:c>
      <x:c r="H8" s="11" t="str">
        <x:v>설계 링크</x:v>
      </x:c>
      <x:c r="I8" s="3" t="str">
        <x:v>https://www.figma.com/design/TmEt1UQV5jIhrArfijGwQe?node-id=2-752</x:v>
      </x:c>
    </x:row>
    <x:row r="9" ht="46" customHeight="1">
      <x:c r="A9" s="9" t="str">
        <x:v>SITE-01</x:v>
      </x:c>
      <x:c r="B9" s="9" t="str">
        <x:v>사이트 목록</x:v>
      </x:c>
      <x:c r="C9" s="9" t="str">
        <x:v>Web</x:v>
      </x:c>
      <x:c r="D9" s="9" t="str">
        <x:v>TF-01, TF-02, TF-03</x:v>
      </x:c>
      <x:c r="E9" s="9" t="str">
        <x:v>Low-Fi 개요 있음 / 항목별 상세 엑셀 미제공</x:v>
      </x:c>
      <x:c r="F9" s="9" t="str">
        <x:v>Low-Fi 개요 참조</x:v>
      </x:c>
      <x:c r="G9" s="11" t="str">
        <x:v>https://www.figma.com/design/TmEt1UQV5jIhrArfijGwQe?node-id=356-1835</x:v>
      </x:c>
      <x:c r="H9" s="11" t="str">
        <x:v>설계 링크</x:v>
      </x:c>
      <x:c r="I9" s="9" t="str">
        <x:v>https://www.figma.com/design/TmEt1UQV5jIhrArfijGwQe?node-id=2-909</x:v>
      </x:c>
    </x:row>
    <x:row r="10" ht="46" customHeight="1">
      <x:c r="A10" s="3" t="str">
        <x:v>SITE-02</x:v>
      </x:c>
      <x:c r="B10" s="3" t="str">
        <x:v>사이트 등록·수정</x:v>
      </x:c>
      <x:c r="C10" s="3" t="str">
        <x:v>Web</x:v>
      </x:c>
      <x:c r="D10" s="3" t="str">
        <x:v>TF-01, TF-02, TF-04, TF-10</x:v>
      </x:c>
      <x:c r="E10" s="3" t="str">
        <x:v>항목별 상세 명세 있음</x:v>
      </x:c>
      <x:c r="F10" s="3" t="str">
        <x:v>FOCURVE 화면 명세 v1.0.xlsx</x:v>
      </x:c>
      <x:c r="G10" s="11" t="str">
        <x:v>https://www.figma.com/design/TmEt1UQV5jIhrArfijGwQe?node-id=356-1987</x:v>
      </x:c>
      <x:c r="H10" s="11" t="str">
        <x:v>설계 링크</x:v>
      </x:c>
      <x:c r="I10" s="3" t="str">
        <x:v>https://www.figma.com/design/TmEt1UQV5jIhrArfijGwQe?node-id=3-280</x:v>
      </x:c>
    </x:row>
    <x:row r="11" ht="46" customHeight="1">
      <x:c r="A11" s="9" t="str">
        <x:v>SESSION-01</x:v>
      </x:c>
      <x:c r="B11" s="9" t="str">
        <x:v>집중 세션</x:v>
      </x:c>
      <x:c r="C11" s="9" t="str">
        <x:v>Web</x:v>
      </x:c>
      <x:c r="D11" s="9" t="str">
        <x:v>TF-05, TF-07</x:v>
      </x:c>
      <x:c r="E11" s="9" t="str">
        <x:v>항목별 상세 명세 있음</x:v>
      </x:c>
      <x:c r="F11" s="9" t="str">
        <x:v>SESSION-01 — 웹 집중 세션 화면 명세.xlsx</x:v>
      </x:c>
      <x:c r="G11" s="11" t="str">
        <x:v>https://www.figma.com/design/TmEt1UQV5jIhrArfijGwQe?node-id=356-2103</x:v>
      </x:c>
      <x:c r="H11" s="11" t="str">
        <x:v>설계 링크</x:v>
      </x:c>
      <x:c r="I11" s="9" t="str">
        <x:v>https://www.figma.com/design/TmEt1UQV5jIhrArfijGwQe?node-id=3-400</x:v>
      </x:c>
    </x:row>
    <x:row r="12" ht="46" customHeight="1">
      <x:c r="A12" s="3" t="str">
        <x:v>LOG-01</x:v>
      </x:c>
      <x:c r="B12" s="3" t="str">
        <x:v>행동 기록 목록</x:v>
      </x:c>
      <x:c r="C12" s="3" t="str">
        <x:v>Web</x:v>
      </x:c>
      <x:c r="D12" s="3" t="str">
        <x:v>TF-08, TF-09</x:v>
      </x:c>
      <x:c r="E12" s="3" t="str">
        <x:v>Low-Fi 개요 있음 / 항목별 상세 엑셀 미제공</x:v>
      </x:c>
      <x:c r="F12" s="3" t="str">
        <x:v>Low-Fi 개요 참조</x:v>
      </x:c>
      <x:c r="G12" s="11" t="str">
        <x:v>https://www.figma.com/design/TmEt1UQV5jIhrArfijGwQe?node-id=356-2431</x:v>
      </x:c>
      <x:c r="H12" s="11" t="str">
        <x:v>설계 링크</x:v>
      </x:c>
      <x:c r="I12" s="3" t="str">
        <x:v>https://www.figma.com/design/TmEt1UQV5jIhrArfijGwQe?node-id=3-734</x:v>
      </x:c>
    </x:row>
    <x:row r="13" ht="46" customHeight="1">
      <x:c r="A13" s="9" t="str">
        <x:v>LOG-02</x:v>
      </x:c>
      <x:c r="B13" s="9" t="str">
        <x:v>행동 기록 상세</x:v>
      </x:c>
      <x:c r="C13" s="9" t="str">
        <x:v>Web</x:v>
      </x:c>
      <x:c r="D13" s="9" t="str">
        <x:v>TF-09</x:v>
      </x:c>
      <x:c r="E13" s="9" t="str">
        <x:v>Low-Fi 개요 있음 / 항목별 상세 엑셀 미제공</x:v>
      </x:c>
      <x:c r="F13" s="9" t="str">
        <x:v>Low-Fi 개요 참조</x:v>
      </x:c>
      <x:c r="G13" s="11" t="str">
        <x:v>https://www.figma.com/design/TmEt1UQV5jIhrArfijGwQe?node-id=356-2573</x:v>
      </x:c>
      <x:c r="H13" s="11" t="str">
        <x:v>설계 링크</x:v>
      </x:c>
      <x:c r="I13" s="9" t="str">
        <x:v>https://www.figma.com/design/TmEt1UQV5jIhrArfijGwQe?node-id=3-875</x:v>
      </x:c>
    </x:row>
    <x:row r="14" ht="46" customHeight="1">
      <x:c r="A14" s="3" t="str">
        <x:v>STAT-01</x:v>
      </x:c>
      <x:c r="B14" s="3" t="str">
        <x:v>통계</x:v>
      </x:c>
      <x:c r="C14" s="3" t="str">
        <x:v>Web</x:v>
      </x:c>
      <x:c r="D14" s="3" t="str">
        <x:v>TF-10</x:v>
      </x:c>
      <x:c r="E14" s="3" t="str">
        <x:v>Low-Fi 개요 있음 / 항목별 상세 엑셀 미제공</x:v>
      </x:c>
      <x:c r="F14" s="3" t="str">
        <x:v>Low-Fi 개요 참조</x:v>
      </x:c>
      <x:c r="G14" s="11" t="str">
        <x:v>https://www.figma.com/design/TmEt1UQV5jIhrArfijGwQe?node-id=356-2638</x:v>
      </x:c>
      <x:c r="H14" s="11" t="str">
        <x:v>설계 링크</x:v>
      </x:c>
      <x:c r="I14" s="3" t="str">
        <x:v>https://www.figma.com/design/TmEt1UQV5jIhrArfijGwQe?node-id=3-964</x:v>
      </x:c>
    </x:row>
    <x:row r="15" ht="46" customHeight="1">
      <x:c r="A15" s="9" t="str">
        <x:v>SETTING-01</x:v>
      </x:c>
      <x:c r="B15" s="9" t="str">
        <x:v>설정</x:v>
      </x:c>
      <x:c r="C15" s="9" t="str">
        <x:v>Web</x:v>
      </x:c>
      <x:c r="D15" s="9" t="str">
        <x:v>TF-13</x:v>
      </x:c>
      <x:c r="E15" s="9" t="str">
        <x:v>Low-Fi 개요 있음 / 항목별 상세 엑셀 미제공</x:v>
      </x:c>
      <x:c r="F15" s="9" t="str">
        <x:v>Low-Fi 개요 참조</x:v>
      </x:c>
      <x:c r="G15" s="11" t="str">
        <x:v>https://www.figma.com/design/TmEt1UQV5jIhrArfijGwQe?node-id=356-2822</x:v>
      </x:c>
      <x:c r="H15" s="11" t="str">
        <x:v>설계 링크</x:v>
      </x:c>
      <x:c r="I15" s="9" t="str">
        <x:v>https://www.figma.com/design/TmEt1UQV5jIhrArfijGwQe?node-id=3-1099</x:v>
      </x:c>
    </x:row>
    <x:row r="16" ht="46" customHeight="1">
      <x:c r="A16" s="3" t="str">
        <x:v>EXT-01</x:v>
      </x:c>
      <x:c r="B16" s="3" t="str">
        <x:v>확장 프로그램 팝업</x:v>
      </x:c>
      <x:c r="C16" s="3" t="str">
        <x:v>Extension</x:v>
      </x:c>
      <x:c r="D16" s="3" t="str">
        <x:v>TF-01~07, TF-09~13</x:v>
      </x:c>
      <x:c r="E16" s="3" t="str">
        <x:v>항목별 상세 명세 있음</x:v>
      </x:c>
      <x:c r="F16" s="3" t="str">
        <x:v>EXT-01 확장 프로그램 팝업 명세.xlsx</x:v>
      </x:c>
      <x:c r="G16" s="11" t="str">
        <x:v>https://www.figma.com/design/TmEt1UQV5jIhrArfijGwQe?node-id=356-1481</x:v>
      </x:c>
      <x:c r="H16" s="11" t="str">
        <x:v>설계 링크</x:v>
      </x:c>
      <x:c r="I16" s="3" t="str">
        <x:v>https://www.figma.com/design/TmEt1UQV5jIhrArfijGwQe?node-id=2-355</x:v>
      </x:c>
    </x:row>
    <x:row r="17" ht="46" customHeight="1">
      <x:c r="A17" s="9" t="str">
        <x:v>EXT-02</x:v>
      </x:c>
      <x:c r="B17" s="9" t="str">
        <x:v>차단 안내</x:v>
      </x:c>
      <x:c r="C17" s="9" t="str">
        <x:v>Extension</x:v>
      </x:c>
      <x:c r="D17" s="9" t="str">
        <x:v>TF-08</x:v>
      </x:c>
      <x:c r="E17" s="9" t="str">
        <x:v>Low-Fi 개요 있음 / 항목별 상세 엑셀 미제공</x:v>
      </x:c>
      <x:c r="F17" s="9" t="str">
        <x:v>Low-Fi 개요 참조</x:v>
      </x:c>
      <x:c r="G17" s="11" t="str">
        <x:v>https://www.figma.com/design/TmEt1UQV5jIhrArfijGwQe?node-id=356-2876</x:v>
      </x:c>
      <x:c r="H17" s="11" t="str">
        <x:v>설계 링크</x:v>
      </x:c>
      <x:c r="I17" s="9" t="str">
        <x:v>https://www.figma.com/design/TmEt1UQV5jIhrArfijGwQe?node-id=3-1190</x:v>
      </x:c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</x:row>
    <x:row r="20" ht="30" customHeight="1">
      <x:c r="A20" s="19" t="str">
        <x:v>개발 범위 · 설계와 구현·테스트 완료를 구분</x:v>
      </x:c>
      <x:c r="B20" s="19"/>
      <x:c r="C20" s="19"/>
      <x:c r="D20" s="19"/>
      <x:c r="E20" s="19"/>
      <x:c r="F20" s="19"/>
      <x:c r="G20" s="19"/>
      <x:c r="H20" s="19"/>
      <x:c r="I20" s="19"/>
    </x:row>
    <x:row r="21" ht="32" customHeight="1">
      <x:c r="A21" s="8" t="str">
        <x:v>구분 ID</x:v>
      </x:c>
      <x:c r="B21" s="8" t="str">
        <x:v>범위</x:v>
      </x:c>
      <x:c r="C21" s="8" t="str">
        <x:v>기능군</x:v>
      </x:c>
      <x:c r="D21" s="8" t="str">
        <x:v>범위 해석</x:v>
      </x:c>
      <x:c r="E21" s="8" t="str">
        <x:v>완료 조건 / 경계</x:v>
      </x:c>
      <x:c r="F21" s="8" t="str">
        <x:v>근거</x:v>
      </x:c>
      <x:c r="G21" s="8" t="str">
        <x:v>팀 결정</x:v>
      </x:c>
      <x:c r="H21" s="8" t="str">
        <x:v>담당</x:v>
      </x:c>
      <x:c r="I21" s="8" t="str">
        <x:v>기능 ID·화면·API·검증 연결</x:v>
      </x:c>
    </x:row>
    <x:row r="22" ht="38" customHeight="1">
      <x:c r="A22" s="3" t="str">
        <x:v>기본</x:v>
      </x:c>
      <x:c r="B22" s="3" t="str">
        <x:v>필수 MVP</x:v>
      </x:c>
      <x:c r="C22" s="3" t="str">
        <x:v>Web·Chrome Extension·Server</x:v>
      </x:c>
      <x:c r="D22" s="3" t="str">
        <x:v>기본 기능 전체</x:v>
      </x:c>
      <x:c r="E22" s="3" t="str">
        <x:v>회원·비회원·정책·세션·자동 기록·통계·화면 모드</x:v>
      </x:c>
      <x:c r="F22" s="3" t="str">
        <x:v>기능 목록 · 개발 계획</x:v>
      </x:c>
      <x:c r="G22" s="11" t="str">
        <x:v>범위 확정</x:v>
      </x:c>
      <x:c r="H22" s="11" t="str"/>
      <x:c r="I22" s="11" t="str"/>
    </x:row>
    <x:row r="23" ht="46" customHeight="1">
      <x:c r="A23" s="9" t="str">
        <x:v>2.1</x:v>
      </x:c>
      <x:c r="B23" s="9" t="str">
        <x:v>학기 필수 추가</x:v>
      </x:c>
      <x:c r="C23" s="9" t="str">
        <x:v>사이트 내부 방해 기능 제한 범위 확대</x:v>
      </x:c>
      <x:c r="D23" s="9" t="str">
        <x:v>이번 학기 구현·검수·테스트 완료</x:v>
      </x:c>
      <x:c r="E23" s="9" t="str">
        <x:v>기본 기능 선행 후 추가 기능 통합; 학기 완료는 모두 포함</x:v>
      </x:c>
      <x:c r="F23" s="9" t="str">
        <x:v>기능 범위 및 설계 기준 · 추가 기능 설계</x:v>
      </x:c>
      <x:c r="G23" s="11" t="str">
        <x:v>범위 확정</x:v>
      </x:c>
      <x:c r="H23" s="11" t="str"/>
      <x:c r="I23" s="11" t="str"/>
    </x:row>
    <x:row r="24" ht="46" customHeight="1">
      <x:c r="A24" s="3" t="str">
        <x:v>2.2</x:v>
      </x:c>
      <x:c r="B24" s="3" t="str">
        <x:v>학기 필수 추가</x:v>
      </x:c>
      <x:c r="C24" s="3" t="str">
        <x:v>내부 기능 제한 지원 웹서비스 확대</x:v>
      </x:c>
      <x:c r="D24" s="3" t="str">
        <x:v>이번 학기 구현·검수·테스트 완료</x:v>
      </x:c>
      <x:c r="E24" s="3" t="str">
        <x:v>기본 기능 선행 후 추가 기능 통합; 학기 완료는 모두 포함</x:v>
      </x:c>
      <x:c r="F24" s="3" t="str">
        <x:v>기능 범위 및 설계 기준 · 추가 기능 설계</x:v>
      </x:c>
      <x:c r="G24" s="11" t="str">
        <x:v>범위 확정</x:v>
      </x:c>
      <x:c r="H24" s="11" t="str"/>
      <x:c r="I24" s="11" t="str"/>
    </x:row>
    <x:row r="25" ht="46" customHeight="1">
      <x:c r="A25" s="9" t="str">
        <x:v>2.3</x:v>
      </x:c>
      <x:c r="B25" s="9" t="str">
        <x:v>학기 필수 추가</x:v>
      </x:c>
      <x:c r="C25" s="9" t="str">
        <x:v>예약 시간 기반 차단</x:v>
      </x:c>
      <x:c r="D25" s="9" t="str">
        <x:v>이번 학기 구현·검수·테스트 완료</x:v>
      </x:c>
      <x:c r="E25" s="9" t="str">
        <x:v>기본 기능 선행 후 추가 기능 통합; 학기 완료는 모두 포함</x:v>
      </x:c>
      <x:c r="F25" s="9" t="str">
        <x:v>기능 범위 및 설계 기준 · 추가 기능 설계</x:v>
      </x:c>
      <x:c r="G25" s="11" t="str">
        <x:v>범위 확정</x:v>
      </x:c>
      <x:c r="H25" s="11" t="str"/>
      <x:c r="I25" s="11" t="str"/>
    </x:row>
    <x:row r="26" ht="46" customHeight="1">
      <x:c r="A26" s="3" t="str">
        <x:v>2.4</x:v>
      </x:c>
      <x:c r="B26" s="3" t="str">
        <x:v>학기 필수 추가</x:v>
      </x:c>
      <x:c r="C26" s="3" t="str">
        <x:v>사이트별 이용 시간 분석</x:v>
      </x:c>
      <x:c r="D26" s="3" t="str">
        <x:v>이번 학기 구현·검수·테스트 완료</x:v>
      </x:c>
      <x:c r="E26" s="3" t="str">
        <x:v>기본 기능 선행 후 추가 기능 통합; 학기 완료는 모두 포함</x:v>
      </x:c>
      <x:c r="F26" s="3" t="str">
        <x:v>기능 범위 및 설계 기준 · 추가 기능 설계</x:v>
      </x:c>
      <x:c r="G26" s="11" t="str">
        <x:v>범위 확정</x:v>
      </x:c>
      <x:c r="H26" s="11" t="str"/>
      <x:c r="I26" s="11" t="str"/>
    </x:row>
    <x:row r="27" ht="46" customHeight="1">
      <x:c r="A27" s="9" t="str">
        <x:v>2.5</x:v>
      </x:c>
      <x:c r="B27" s="9" t="str">
        <x:v>학기 필수 추가</x:v>
      </x:c>
      <x:c r="C27" s="9" t="str">
        <x:v>행동 기반 집중 방해 지표</x:v>
      </x:c>
      <x:c r="D27" s="9" t="str">
        <x:v>이번 학기 구현·검수·테스트 완료</x:v>
      </x:c>
      <x:c r="E27" s="9" t="str">
        <x:v>기본 기능 선행 후 추가 기능 통합; 학기 완료는 모두 포함</x:v>
      </x:c>
      <x:c r="F27" s="9" t="str">
        <x:v>기능 범위 및 설계 기준 · 추가 기능 설계</x:v>
      </x:c>
      <x:c r="G27" s="11" t="str">
        <x:v>범위 확정</x:v>
      </x:c>
      <x:c r="H27" s="11" t="str"/>
      <x:c r="I27" s="11" t="str"/>
    </x:row>
    <x:row r="28" ht="46" customHeight="1">
      <x:c r="A28" s="3" t="str">
        <x:v>2.6</x:v>
      </x:c>
      <x:c r="B28" s="3" t="str">
        <x:v>학기 필수 추가</x:v>
      </x:c>
      <x:c r="C28" s="3" t="str">
        <x:v>시간대별 행동 패턴 및 대시보드 시각화 고도화</x:v>
      </x:c>
      <x:c r="D28" s="3" t="str">
        <x:v>이번 학기 구현·검수·테스트 완료</x:v>
      </x:c>
      <x:c r="E28" s="3" t="str">
        <x:v>기본 기능 선행 후 추가 기능 통합; 학기 완료는 모두 포함</x:v>
      </x:c>
      <x:c r="F28" s="3" t="str">
        <x:v>기능 범위 및 설계 기준 · 추가 기능 설계</x:v>
      </x:c>
      <x:c r="G28" s="11" t="str">
        <x:v>범위 확정</x:v>
      </x:c>
      <x:c r="H28" s="11" t="str"/>
      <x:c r="I28" s="11" t="str"/>
    </x:row>
    <x:row r="29" ht="46" customHeight="1">
      <x:c r="A29" s="9" t="str">
        <x:v>2.7</x:v>
      </x:c>
      <x:c r="B29" s="9" t="str">
        <x:v>학기 필수 추가</x:v>
      </x:c>
      <x:c r="C29" s="9" t="str">
        <x:v>사용자 지정 키워드 기반 웹페이지 차단</x:v>
      </x:c>
      <x:c r="D29" s="9" t="str">
        <x:v>이번 학기 구현·검수·테스트 완료</x:v>
      </x:c>
      <x:c r="E29" s="9" t="str">
        <x:v>기본 기능 선행 후 추가 기능 통합; 학기 완료는 모두 포함</x:v>
      </x:c>
      <x:c r="F29" s="9" t="str">
        <x:v>기능 범위 및 설계 기준 · 추가 기능 설계</x:v>
      </x:c>
      <x:c r="G29" s="11" t="str">
        <x:v>범위 확정</x:v>
      </x:c>
      <x:c r="H29" s="11" t="str"/>
      <x:c r="I29" s="11" t="str"/>
    </x:row>
    <x:row r="30" ht="46" customHeight="1">
      <x:c r="A30" s="3" t="str">
        <x:v>2.8</x:v>
      </x:c>
      <x:c r="B30" s="3" t="str">
        <x:v>학기 필수 추가</x:v>
      </x:c>
      <x:c r="C30" s="3" t="str">
        <x:v>성인 콘텐츠 사이트 접근 제한</x:v>
      </x:c>
      <x:c r="D30" s="3" t="str">
        <x:v>이번 학기 구현·검수·테스트 완료</x:v>
      </x:c>
      <x:c r="E30" s="3" t="str">
        <x:v>기본 기능 선행 후 추가 기능 통합; 학기 완료는 모두 포함</x:v>
      </x:c>
      <x:c r="F30" s="3" t="str">
        <x:v>기능 범위 및 설계 기준 · 추가 기능 설계</x:v>
      </x:c>
      <x:c r="G30" s="11" t="str">
        <x:v>범위 확정</x:v>
      </x:c>
      <x:c r="H30" s="11" t="str"/>
      <x:c r="I30" s="11" t="str"/>
    </x:row>
    <x:row r="31" ht="46" customHeight="1">
      <x:c r="A31" s="9" t="str">
        <x:v>2.9</x:v>
      </x:c>
      <x:c r="B31" s="9" t="str">
        <x:v>학기 필수 추가</x:v>
      </x:c>
      <x:c r="C31" s="9" t="str">
        <x:v>AI 기반 민감 이미지 선택적 블러 처리</x:v>
      </x:c>
      <x:c r="D31" s="9" t="str">
        <x:v>이번 학기 구현·검수·테스트 완료</x:v>
      </x:c>
      <x:c r="E31" s="9" t="str">
        <x:v>기본 기능 선행 후 추가 기능 통합; 학기 완료는 모두 포함</x:v>
      </x:c>
      <x:c r="F31" s="9" t="str">
        <x:v>기능 범위 및 설계 기준 · 추가 기능 설계</x:v>
      </x:c>
      <x:c r="G31" s="11" t="str">
        <x:v>범위 확정</x:v>
      </x:c>
      <x:c r="H31" s="11" t="str"/>
      <x:c r="I31" s="11" t="str"/>
    </x:row>
    <x:row r="32" ht="46" customHeight="1">
      <x:c r="A32" s="3" t="str">
        <x:v>2.10</x:v>
      </x:c>
      <x:c r="B32" s="3" t="str">
        <x:v>학기 필수 추가</x:v>
      </x:c>
      <x:c r="C32" s="3" t="str">
        <x:v>AI 기반 집중 행동 피드백</x:v>
      </x:c>
      <x:c r="D32" s="3" t="str">
        <x:v>이번 학기 구현·검수·테스트 완료</x:v>
      </x:c>
      <x:c r="E32" s="3" t="str">
        <x:v>기본 기능 선행 후 추가 기능 통합; 학기 완료는 모두 포함</x:v>
      </x:c>
      <x:c r="F32" s="3" t="str">
        <x:v>기능 범위 및 설계 기준 · 추가 기능 설계</x:v>
      </x:c>
      <x:c r="G32" s="11" t="str">
        <x:v>범위 확정</x:v>
      </x:c>
      <x:c r="H32" s="11" t="str"/>
      <x:c r="I32" s="11" t="str"/>
    </x:row>
    <x:row r="33" ht="38" customHeight="1">
      <x:c r="A33" s="9" t="str">
        <x:v>2.11</x:v>
      </x:c>
      <x:c r="B33" s="9" t="str">
        <x:v>Desktop</x:v>
      </x:c>
      <x:c r="C33" s="9" t="str">
        <x:v>Windows 앱 관리·제한</x:v>
      </x:c>
      <x:c r="D33" s="9" t="str">
        <x:v>별도 PC 확장</x:v>
      </x:c>
      <x:c r="E33" s="9" t="str">
        <x:v>웹 기본·추가 전체 검수·테스트 완료 후 잔여 역량이 있을 때 착수</x:v>
      </x:c>
      <x:c r="F33" s="9" t="str">
        <x:v>기획 p.47,117–120</x:v>
      </x:c>
      <x:c r="G33" s="11" t="str">
        <x:v>착수 조건부</x:v>
      </x:c>
      <x:c r="H33" s="11" t="str"/>
      <x:c r="I33" s="11" t="str"/>
    </x:row>
    <x:row r="34" ht="38" customHeight="1">
      <x:c r="A34" s="3" t="str">
        <x:v>향후</x:v>
      </x:c>
      <x:c r="B34" s="3" t="str">
        <x:v>모바일·다중기기</x:v>
      </x:c>
      <x:c r="C34" s="3" t="str">
        <x:v>선택 플랫폼 확장</x:v>
      </x:c>
      <x:c r="D34" s="3" t="str">
        <x:v>4학년 1학기 여건에 따라 검토</x:v>
      </x:c>
      <x:c r="E34" s="3" t="str">
        <x:v>기존 서비스 품질·연동 조건 검토 후 확장</x:v>
      </x:c>
      <x:c r="F34" s="3" t="str">
        <x:v>기획 p.49,135–140</x:v>
      </x:c>
      <x:c r="G34" s="11" t="str">
        <x:v>후속 검토</x:v>
      </x:c>
      <x:c r="H34" s="11" t="str"/>
      <x:c r="I34" s="11" t="str"/>
    </x:row>
    <x:row r="35" ht="46" customHeight="1">
      <x:c r="A35" s="9" t="str">
        <x:v>제외</x:v>
      </x:c>
      <x:c r="B35" s="9" t="str">
        <x:v>우회·강제 통제 등</x:v>
      </x:c>
      <x:c r="C35" s="9" t="str">
        <x:v>확장 삭제방지·OS 강제통제·AI 자동 정책변경</x:v>
      </x:c>
      <x:c r="D35" s="9" t="str">
        <x:v>현재 완료 범위 제외</x:v>
      </x:c>
      <x:c r="E35" s="9" t="str">
        <x:v>지원하는 기능으로 표시하지 않음</x:v>
      </x:c>
      <x:c r="F35" s="9" t="str">
        <x:v>기획 p.48–50</x:v>
      </x:c>
      <x:c r="G35" s="11" t="str">
        <x:v>제외</x:v>
      </x:c>
      <x:c r="H35" s="11" t="str"/>
      <x:c r="I35" s="11" t="str"/>
    </x:row>
    <x:row r="36" ht="46" customHeight="1">
      <x:c r="A36" s="3" t="str">
        <x:v>초안</x:v>
      </x:c>
      <x:c r="B36" s="3" t="str">
        <x:v>비회원·추가 UI</x:v>
      </x:c>
      <x:c r="C36" s="3" t="str">
        <x:v>비회원 보관/이전·일시정지 등</x:v>
      </x:c>
      <x:c r="D36" s="3" t="str">
        <x:v>비회원은 기본, 정지·메모는 추가 필수</x:v>
      </x:c>
      <x:c r="E36" s="3" t="str">
        <x:v>테마는 표현, 기능 상태는 별도 범위 결정</x:v>
      </x:c>
      <x:c r="F36" s="3" t="str">
        <x:v>IA·Task Flow·Low-Fi 안내</x:v>
      </x:c>
      <x:c r="G36" s="11" t="str">
        <x:v>범위 확정 · 세부 정책 검토</x:v>
      </x:c>
      <x:c r="H36" s="11" t="str"/>
      <x:c r="I36" s="11" t="str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</x:row>
    <x:row r="38">
      <x:c r="A38" s="3" t="str">
        <x:v>설계 근거</x:v>
      </x:c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19" t="str">
        <x:v>설계 근거 문서</x:v>
      </x:c>
      <x:c r="B39" s="19"/>
      <x:c r="C39" s="19"/>
      <x:c r="D39" s="19"/>
      <x:c r="E39" s="19"/>
      <x:c r="F39" s="19"/>
      <x:c r="G39" s="19"/>
      <x:c r="H39" s="19"/>
      <x:c r="I39" s="19"/>
    </x:row>
    <x:row r="40" ht="32" customHeight="1">
      <x:c r="A40" s="8" t="str">
        <x:v>자료 ID</x:v>
      </x:c>
      <x:c r="B40" s="8" t="str">
        <x:v>파일명</x:v>
      </x:c>
      <x:c r="C40" s="8" t="str">
        <x:v>역할</x:v>
      </x:c>
      <x:c r="D40" s="8" t="str">
        <x:v>검토 기준일</x:v>
      </x:c>
      <x:c r="E40" s="8" t="str">
        <x:v>유의점</x:v>
      </x:c>
      <x:c r="F40" s="3"/>
      <x:c r="G40" s="3"/>
      <x:c r="H40" s="3"/>
      <x:c r="I40" s="3"/>
    </x:row>
    <x:row r="41" ht="46" customHeight="1">
      <x:c r="A41" s="3" t="str">
        <x:v>SRC-01</x:v>
      </x:c>
      <x:c r="B41" s="3" t="str">
        <x:v>FOCURVE_프로젝트_기획안_v1.0_20260918(2).pdf</x:v>
      </x:c>
      <x:c r="C41" s="3" t="str">
        <x:v>범위·검증·개인정보·개발 계획</x:v>
      </x:c>
      <x:c r="D41" s="24" t="n">
        <x:v>46289</x:v>
      </x:c>
      <x:c r="E41" s="3" t="str">
        <x:v>초기 기획 참고자료; 개발 범위·일정은 현재 개발 계획 적용</x:v>
      </x:c>
      <x:c r="F41" s="3"/>
      <x:c r="G41" s="3"/>
      <x:c r="H41" s="3"/>
      <x:c r="I41" s="3"/>
    </x:row>
    <x:row r="42" ht="46" customHeight="1">
      <x:c r="A42" s="9" t="str">
        <x:v>SRC-02</x:v>
      </x:c>
      <x:c r="B42" s="9" t="str">
        <x:v>FOCURVE_기능_목록_v1.0.xlsx</x:v>
      </x:c>
      <x:c r="C42" s="9" t="str">
        <x:v>기능 ID·우선순위·관련 화면</x:v>
      </x:c>
      <x:c r="D42" s="25" t="n">
        <x:v>46289</x:v>
      </x:c>
      <x:c r="E42" s="9" t="str">
        <x:v>현재 설계 기준</x:v>
      </x:c>
      <x:c r="F42" s="3"/>
      <x:c r="G42" s="3"/>
      <x:c r="H42" s="3"/>
      <x:c r="I42" s="3"/>
    </x:row>
    <x:row r="43" ht="46" customHeight="1">
      <x:c r="A43" s="3" t="str">
        <x:v>SRC-03</x:v>
      </x:c>
      <x:c r="B43" s="3" t="str">
        <x:v>FOCURVE 화면 설계 v1.0.xlsx</x:v>
      </x:c>
      <x:c r="C43" s="3" t="str">
        <x:v>12개 화면 인벤토리</x:v>
      </x:c>
      <x:c r="D43" s="24" t="n">
        <x:v>46289</x:v>
      </x:c>
      <x:c r="E43" s="3" t="str">
        <x:v>현재 설계 기준</x:v>
      </x:c>
      <x:c r="F43" s="3"/>
      <x:c r="G43" s="3"/>
      <x:c r="H43" s="3"/>
      <x:c r="I43" s="3"/>
    </x:row>
    <x:row r="44" ht="46" customHeight="1">
      <x:c r="A44" s="9" t="str">
        <x:v>SRC-04</x:v>
      </x:c>
      <x:c r="B44" s="9" t="str">
        <x:v>FOCURVE 화면 명세 v1.0.xlsx</x:v>
      </x:c>
      <x:c r="C44" s="9" t="str">
        <x:v>SITE-02 상세</x:v>
      </x:c>
      <x:c r="D44" s="25" t="n">
        <x:v>46289</x:v>
      </x:c>
      <x:c r="E44" s="9" t="str">
        <x:v>현재 설계 기준</x:v>
      </x:c>
      <x:c r="F44" s="3"/>
      <x:c r="G44" s="3"/>
      <x:c r="H44" s="3"/>
      <x:c r="I44" s="3"/>
    </x:row>
    <x:row r="45" ht="46" customHeight="1">
      <x:c r="A45" s="3" t="str">
        <x:v>SRC-05</x:v>
      </x:c>
      <x:c r="B45" s="3" t="str">
        <x:v>EXT-01 확장 프로그램 팝업 명세.xlsx</x:v>
      </x:c>
      <x:c r="C45" s="3" t="str">
        <x:v>확장 팝업 상세</x:v>
      </x:c>
      <x:c r="D45" s="24" t="n">
        <x:v>46289</x:v>
      </x:c>
      <x:c r="E45" s="3" t="str">
        <x:v>현재 설계 기준</x:v>
      </x:c>
      <x:c r="F45" s="3"/>
      <x:c r="G45" s="3"/>
      <x:c r="H45" s="3"/>
      <x:c r="I45" s="3"/>
    </x:row>
    <x:row r="46" ht="46" customHeight="1">
      <x:c r="A46" s="9" t="str">
        <x:v>SRC-06</x:v>
      </x:c>
      <x:c r="B46" s="9" t="str">
        <x:v>SESSION-01 — 웹 집중 세션 화면 명세.xlsx</x:v>
      </x:c>
      <x:c r="C46" s="9" t="str">
        <x:v>웹 집중 세션 상세</x:v>
      </x:c>
      <x:c r="D46" s="25" t="n">
        <x:v>46289</x:v>
      </x:c>
      <x:c r="E46" s="9" t="str">
        <x:v>현재 설계 기준</x:v>
      </x:c>
      <x:c r="F46" s="3"/>
      <x:c r="G46" s="3"/>
      <x:c r="H46" s="3"/>
      <x:c r="I46" s="3"/>
    </x:row>
    <x:row r="47" ht="46" customHeight="1">
      <x:c r="A47" s="3" t="str">
        <x:v>SRC-07</x:v>
      </x:c>
      <x:c r="B47" s="3" t="str">
        <x:v>FOCURVE_IA_v1.2 (1).md</x:v>
      </x:c>
      <x:c r="C47" s="3" t="str">
        <x:v>정보 구조·진입</x:v>
      </x:c>
      <x:c r="D47" s="24" t="n">
        <x:v>46289</x:v>
      </x:c>
      <x:c r="E47" s="3" t="str">
        <x:v>현재 설계 기준</x:v>
      </x:c>
      <x:c r="F47" s="3"/>
      <x:c r="G47" s="3"/>
      <x:c r="H47" s="3"/>
      <x:c r="I47" s="3"/>
    </x:row>
    <x:row r="48" ht="46" customHeight="1">
      <x:c r="A48" s="9" t="str">
        <x:v>SRC-08</x:v>
      </x:c>
      <x:c r="B48" s="9" t="str">
        <x:v>FOCURVE_User_Flow_v1.1 (1).md</x:v>
      </x:c>
      <x:c r="C48" s="9" t="str">
        <x:v>회원·비회원 흐름</x:v>
      </x:c>
      <x:c r="D48" s="25" t="n">
        <x:v>46289</x:v>
      </x:c>
      <x:c r="E48" s="9" t="str">
        <x:v>현재 설계 기준</x:v>
      </x:c>
      <x:c r="F48" s="3"/>
      <x:c r="G48" s="3"/>
      <x:c r="H48" s="3"/>
      <x:c r="I48" s="3"/>
    </x:row>
    <x:row r="49" ht="46" customHeight="1">
      <x:c r="A49" s="3" t="str">
        <x:v>SRC-09</x:v>
      </x:c>
      <x:c r="B49" s="3" t="str">
        <x:v>FOCURVE_Task_Flow_v1.0 (1).md</x:v>
      </x:c>
      <x:c r="C49" s="3" t="str">
        <x:v>13개 작업 흐름</x:v>
      </x:c>
      <x:c r="D49" s="24" t="n">
        <x:v>46289</x:v>
      </x:c>
      <x:c r="E49" s="3" t="str">
        <x:v>현재 설계 기준</x:v>
      </x:c>
      <x:c r="F49" s="3"/>
      <x:c r="G49" s="3"/>
      <x:c r="H49" s="3"/>
      <x:c r="I49" s="3"/>
    </x:row>
    <x:row r="50" ht="46" customHeight="1">
      <x:c r="A50" s="9" t="str">
        <x:v>SRC-10</x:v>
      </x:c>
      <x:c r="B50" s="9" t="str">
        <x:v>FOCURVE_Event_Schema_v1.0(1).md</x:v>
      </x:c>
      <x:c r="C50" s="9" t="str">
        <x:v>이벤트·중복·반복·이전</x:v>
      </x:c>
      <x:c r="D50" s="25" t="n">
        <x:v>46289</x:v>
      </x:c>
      <x:c r="E50" s="9" t="str">
        <x:v>현재 설계 기준</x:v>
      </x:c>
      <x:c r="F50" s="3"/>
      <x:c r="G50" s="3"/>
      <x:c r="H50" s="3"/>
      <x:c r="I50" s="3"/>
    </x:row>
    <x:row r="51" ht="46" customHeight="1">
      <x:c r="A51" s="3" t="str">
        <x:v>SRC-11</x:v>
      </x:c>
      <x:c r="B51" s="3" t="str">
        <x:v>FOCURVE_LowFi_설계.md</x:v>
      </x:c>
      <x:c r="C51" s="3" t="str">
        <x:v>Low-Fi 구조·예시·링크</x:v>
      </x:c>
      <x:c r="D51" s="24" t="n">
        <x:v>46289</x:v>
      </x:c>
      <x:c r="E51" s="3" t="str">
        <x:v>현재 설계 기준</x:v>
      </x:c>
      <x:c r="F51" s="3"/>
      <x:c r="G51" s="3"/>
      <x:c r="H51" s="3"/>
      <x:c r="I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</x:row>
  </x:sheetData>
  <x:mergeCells>
    <x:mergeCell ref="A1:F1"/>
    <x:mergeCell ref="A2:F3"/>
    <x:mergeCell ref="A20:I20"/>
    <x:mergeCell ref="A39:I39"/>
  </x:mergeCells>
  <x:dataValidations count="3">
    <x:dataValidation type="list" sqref="H6:H17">
      <x:formula1>"미연결,연결됨,상태 보완 필요"</x:formula1>
    </x:dataValidation>
    <x:dataValidation type="list" sqref="G22:G36">
      <x:formula1>"검토 필요,미결정,채택,보류,별도 관리,후속 검토,제외"</x:formula1>
    </x:dataValidation>
    <x:dataValidation type="list" sqref="G23:G36">
      <x:formula1>"범위 확정,착수 조건부,후속 검토,제외,범위 확정 · 세부 정책 검토"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c23ca4d2c26643a7"/>
    <x:tablePart xmlns:r="http://schemas.openxmlformats.org/officeDocument/2006/relationships" r:id="R8236cdfdf3e243ca"/>
    <x:tablePart xmlns:r="http://schemas.openxmlformats.org/officeDocument/2006/relationships" r:id="R154a30072b8c413c"/>
  </x:tableParts>
</x:worksheet>
</file>